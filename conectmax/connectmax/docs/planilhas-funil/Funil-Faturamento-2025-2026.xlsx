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5"/>
    <sheet state="visible" name="Resumo vendedores" sheetId="2" r:id="rId6"/>
    <sheet state="visible" name="Jan2025" sheetId="3" r:id="rId7"/>
    <sheet state="visible" name="Fev2025" sheetId="4" r:id="rId8"/>
    <sheet state="visible" name="Mar2025" sheetId="5" r:id="rId9"/>
    <sheet state="visible" name="Abr2025" sheetId="6" r:id="rId10"/>
    <sheet state="visible" name="Mai2025" sheetId="7" r:id="rId11"/>
    <sheet state="visible" name="Jun2025" sheetId="8" r:id="rId12"/>
    <sheet state="visible" name="Jul2025" sheetId="9" r:id="rId13"/>
    <sheet state="visible" name="Ago2025" sheetId="10" r:id="rId14"/>
    <sheet state="visible" name="Set2025" sheetId="11" r:id="rId15"/>
    <sheet state="visible" name="Out2025" sheetId="12" r:id="rId16"/>
    <sheet state="visible" name="Nov2025" sheetId="13" r:id="rId17"/>
    <sheet state="visible" name="Dez2025" sheetId="14" r:id="rId18"/>
    <sheet state="visible" name="Jan2026" sheetId="15" r:id="rId19"/>
    <sheet state="visible" name="Fev2026" sheetId="16" r:id="rId20"/>
    <sheet state="visible" name="Mar2026" sheetId="17" r:id="rId21"/>
    <sheet state="visible" name="Abr2026" sheetId="18" r:id="rId22"/>
    <sheet state="visible" name="Mai2026" sheetId="19" r:id="rId23"/>
    <sheet state="visible" name="Jun2026" sheetId="20" r:id="rId24"/>
    <sheet state="visible" name="Jul2026" sheetId="21" r:id="rId25"/>
    <sheet state="visible" name="Ago2026" sheetId="22" r:id="rId26"/>
    <sheet state="visible" name="Set2026" sheetId="23" r:id="rId27"/>
    <sheet state="visible" name="Out2026" sheetId="24" r:id="rId28"/>
    <sheet state="visible" name="Nov2026" sheetId="25" r:id="rId29"/>
    <sheet state="visible" name="Dez2026" sheetId="26" r:id="rId30"/>
  </sheets>
  <definedNames/>
  <calcPr/>
</workbook>
</file>

<file path=xl/sharedStrings.xml><?xml version="1.0" encoding="utf-8"?>
<sst xmlns="http://schemas.openxmlformats.org/spreadsheetml/2006/main" count="690" uniqueCount="174">
  <si>
    <t>Funil — Faturamento (2025–2026)</t>
  </si>
  <si>
    <t>Fonte: Portal Franqueado | Jan/2025–Dez/2026 (meses com dados)</t>
  </si>
  <si>
    <t>Valor total = soma da coluna Total das linhas do mês.</t>
  </si>
  <si>
    <t>Mês</t>
  </si>
  <si>
    <t>Qtd</t>
  </si>
  <si>
    <t>Valor total (R$)</t>
  </si>
  <si>
    <t>TOTAL</t>
  </si>
  <si>
    <t>Resumo vendedores — Faturamento (2025–2026) — por mês</t>
  </si>
  <si>
    <t>Faturamento = soma Total | Itens = qtd de linhas | vendedor extraído do Resumo (#N - Nome)</t>
  </si>
  <si>
    <t>Jan/2025</t>
  </si>
  <si>
    <t>Vendedor</t>
  </si>
  <si>
    <t>Itens</t>
  </si>
  <si>
    <t>Faturamento (R$)</t>
  </si>
  <si>
    <t>Guilherme</t>
  </si>
  <si>
    <t>Erickson</t>
  </si>
  <si>
    <t>Marcello</t>
  </si>
  <si>
    <t>Bruno Toyo</t>
  </si>
  <si>
    <t>DEVOLUÇÃO</t>
  </si>
  <si>
    <t>Gabriele</t>
  </si>
  <si>
    <t>TOTAL mês</t>
  </si>
  <si>
    <t>Fev/2025</t>
  </si>
  <si>
    <t>Olívia</t>
  </si>
  <si>
    <t>Mar/2025</t>
  </si>
  <si>
    <t>(sem vendedor)</t>
  </si>
  <si>
    <t>Abr/2025</t>
  </si>
  <si>
    <t>Mai/2025</t>
  </si>
  <si>
    <t>Jun/2025</t>
  </si>
  <si>
    <t>Jul/2025</t>
  </si>
  <si>
    <t>Ago/2025</t>
  </si>
  <si>
    <t>Set/2025</t>
  </si>
  <si>
    <t>Out/2025</t>
  </si>
  <si>
    <t>Nov/2025</t>
  </si>
  <si>
    <t>Dez/2025</t>
  </si>
  <si>
    <t>Jan/2026</t>
  </si>
  <si>
    <t>Fev/2026</t>
  </si>
  <si>
    <t>Mar/2026</t>
  </si>
  <si>
    <t>Abr/2026</t>
  </si>
  <si>
    <t>Mai/2026</t>
  </si>
  <si>
    <t>Jun/2026</t>
  </si>
  <si>
    <t>Jul/2026</t>
  </si>
  <si>
    <t>Ago/2026</t>
  </si>
  <si>
    <t>Set/2026</t>
  </si>
  <si>
    <t>Out/2026</t>
  </si>
  <si>
    <t>Nov/2026</t>
  </si>
  <si>
    <t>Dez/2026</t>
  </si>
  <si>
    <t>TOTAL GERAL (todos os meses)</t>
  </si>
  <si>
    <t>Faturamento Jan/2025 | 01/01/2025 a 31/01/2025</t>
  </si>
  <si>
    <t>Fonte: Portal Franqueado ConectMax</t>
  </si>
  <si>
    <t>Snapshot — reextrair do portal para atualizar.</t>
  </si>
  <si>
    <t>Total: 6</t>
  </si>
  <si>
    <t>ID</t>
  </si>
  <si>
    <t>Data</t>
  </si>
  <si>
    <t>Resumo</t>
  </si>
  <si>
    <t>Total</t>
  </si>
  <si>
    <t>#116 - Bruno Toyo R$ 0,00</t>
  </si>
  <si>
    <t>#79 - DEVOLUÇÃO R$ 0,00</t>
  </si>
  <si>
    <t>#62 - Erickson R$ 9.949,10</t>
  </si>
  <si>
    <t>#114 - Gabriele R$ 0,00</t>
  </si>
  <si>
    <t>#76 - Guilherme R$ 33.125,60</t>
  </si>
  <si>
    <t>#57 - Marcello R$ 274,80</t>
  </si>
  <si>
    <t>Faturamento Fev/2025 | 01/02/2025 a 28/02/2025</t>
  </si>
  <si>
    <t>Total: 7</t>
  </si>
  <si>
    <t>#62 - Erickson R$ 29.592,90</t>
  </si>
  <si>
    <t>#76 - Guilherme R$ 8.003,90</t>
  </si>
  <si>
    <t>#57 - Marcello R$ 2.618,20</t>
  </si>
  <si>
    <t>#75 - Olívia R$ 22.348,60</t>
  </si>
  <si>
    <t>Faturamento Mar/2025 | 01/03/2025 a 31/03/2025</t>
  </si>
  <si>
    <t>Total: 8</t>
  </si>
  <si>
    <t>#62 - Erickson R$ 41.210,70</t>
  </si>
  <si>
    <t>#76 - Guilherme R$ 26.228,50</t>
  </si>
  <si>
    <t>#57 - Marcello R$ 0,00</t>
  </si>
  <si>
    <t>#75 - Olívia R$ 49.979,90</t>
  </si>
  <si>
    <t>Total: R$ 117.419,10</t>
  </si>
  <si>
    <t>Faturamento Abr/2025 | 01/04/2025 a 30/04/2025</t>
  </si>
  <si>
    <t>#62 - Erickson R$ 11.570,30</t>
  </si>
  <si>
    <t>#76 - Guilherme R$ 117.662,00</t>
  </si>
  <si>
    <t>#75 - Olívia R$ 32.314,30</t>
  </si>
  <si>
    <t>Total: R$ 161.546,60</t>
  </si>
  <si>
    <t>Faturamento Mai/2025 | 01/05/2025 a 31/05/2025</t>
  </si>
  <si>
    <t>#62 - Erickson R$ 36.349,80</t>
  </si>
  <si>
    <t>#76 - Guilherme R$ 93.329,90</t>
  </si>
  <si>
    <t>#57 - Marcello R$ 1.551,80</t>
  </si>
  <si>
    <t>#75 - Olívia R$ 24.013,60</t>
  </si>
  <si>
    <t>Total: R$ 155.245,10</t>
  </si>
  <si>
    <t>Faturamento Jun/2025 | 01/06/2025 a 30/06/2025</t>
  </si>
  <si>
    <t>#62 - Erickson R$ 29.450,10</t>
  </si>
  <si>
    <t>#76 - Guilherme R$ 84.573,60</t>
  </si>
  <si>
    <t>#57 - Marcello R$ 2.206,00</t>
  </si>
  <si>
    <t>#75 - Olívia R$ 65.315,90</t>
  </si>
  <si>
    <t>Total: R$ 181.545,60</t>
  </si>
  <si>
    <t>Faturamento Jul/2025 | 01/07/2025 a 31/07/2025</t>
  </si>
  <si>
    <t>#62 - Erickson R$ 14.061,60</t>
  </si>
  <si>
    <t>#76 - Guilherme R$ 11.837,10</t>
  </si>
  <si>
    <t>#75 - Olívia R$ 24.028,40</t>
  </si>
  <si>
    <t>Faturamento Ago/2025 | 01/08/2025 a 31/08/2025</t>
  </si>
  <si>
    <t>#62 - Erickson R$ 0,00</t>
  </si>
  <si>
    <t>#76 - Guilherme R$ 4.106,90</t>
  </si>
  <si>
    <t>#57 - Marcello R$ 8.407,40</t>
  </si>
  <si>
    <t>#75 - Olívia R$ 10.975,50</t>
  </si>
  <si>
    <t>Faturamento Set/2025 | 01/09/2025 a 30/09/2025</t>
  </si>
  <si>
    <t>#76 - Guilherme R$ 69.579,10</t>
  </si>
  <si>
    <t>#57 - Marcello R$ 5.300,30</t>
  </si>
  <si>
    <t>#75 - Olívia R$ 38.630,90</t>
  </si>
  <si>
    <t>Total: R$ 113.510,30</t>
  </si>
  <si>
    <t>Faturamento Out/2025 | 01/10/2025 a 31/10/2025</t>
  </si>
  <si>
    <t>#76 - Guilherme R$ 24.420,14</t>
  </si>
  <si>
    <t>#57 - Marcello R$ 25.645,75</t>
  </si>
  <si>
    <t>#75 - Olívia R$ 170.298,30</t>
  </si>
  <si>
    <t>Total: R$ 200.714,29</t>
  </si>
  <si>
    <t>Faturamento Nov/2025 | 01/11/2025 a 30/11/2025</t>
  </si>
  <si>
    <t>#76 - Guilherme R$ 34.233,13</t>
  </si>
  <si>
    <t>#57 - Marcello R$ 13.724,10</t>
  </si>
  <si>
    <t>#75 - Olívia R$ 70.140,35</t>
  </si>
  <si>
    <t>Total: R$ 118.097,58</t>
  </si>
  <si>
    <t>Faturamento Dez/2025 | 01/12/2025 a 31/12/2025</t>
  </si>
  <si>
    <t>#114 - Gabriele R$ 13.452,28</t>
  </si>
  <si>
    <t>#76 - Guilherme R$ 7.228,30</t>
  </si>
  <si>
    <t>#57 - Marcello R$ 22.416,50</t>
  </si>
  <si>
    <t>#75 - Olívia R$ 133.147,75</t>
  </si>
  <si>
    <t>Total: R$ 176.244,83</t>
  </si>
  <si>
    <t>Faturamento Jan/2026 | 01/01/2026 a 31/01/2026</t>
  </si>
  <si>
    <t>#114 - Gabriele R$ 19.330,85</t>
  </si>
  <si>
    <t>#76 - Guilherme R$ 7.844,81</t>
  </si>
  <si>
    <t>#57 - Marcello R$ 12.663,20</t>
  </si>
  <si>
    <t>#75 - Olívia R$ 1.643,62</t>
  </si>
  <si>
    <t>Faturamento Fev/2026 | 01/02/2026 a 28/02/2026</t>
  </si>
  <si>
    <t>#114 - Gabriele R$ 17.499,97</t>
  </si>
  <si>
    <t>#76 - Guilherme R$ 81.825,14</t>
  </si>
  <si>
    <t>#57 - Marcello R$ 3.266,30</t>
  </si>
  <si>
    <t>#75 - Olívia R$ 65.816,75</t>
  </si>
  <si>
    <t>Total: R$ 168.408,16</t>
  </si>
  <si>
    <t>Faturamento Mar/2026 | 01/03/2026 a 31/03/2026</t>
  </si>
  <si>
    <t>#114 - Gabriele R$ 6.825,04</t>
  </si>
  <si>
    <t>#76 - Guilherme R$ 61.295,16</t>
  </si>
  <si>
    <t>#57 - Marcello R$ 22.692,02</t>
  </si>
  <si>
    <t>#75 - Olívia R$ 50.960,03</t>
  </si>
  <si>
    <t>Total: R$ 141.772,25</t>
  </si>
  <si>
    <t>Faturamento Abr/2026 | 01/04/2026 a 30/04/2026</t>
  </si>
  <si>
    <t>#76 - Guilherme R$ 2.947,50</t>
  </si>
  <si>
    <t>#57 - Marcello R$ 21.279,90</t>
  </si>
  <si>
    <t>#75 - Olívia R$ 67.968,00</t>
  </si>
  <si>
    <t>Faturamento Mai/2026 | 01/05/2026 a 31/05/2026</t>
  </si>
  <si>
    <t>#114 - Gabriele R$ 10.102,11</t>
  </si>
  <si>
    <t>#76 - Guilherme R$ 19.713,15</t>
  </si>
  <si>
    <t>#57 - Marcello R$ 11.027,60</t>
  </si>
  <si>
    <t>#75 - Olívia R$ 39.220,97</t>
  </si>
  <si>
    <t>Faturamento Jun/2026 | 01/06/2026 a 30/06/2026</t>
  </si>
  <si>
    <t>#114 - Gabriele R$ 8.121,21</t>
  </si>
  <si>
    <t>#76 - Guilherme R$ 0,00</t>
  </si>
  <si>
    <t>#57 - Marcello R$ 47.593,30</t>
  </si>
  <si>
    <t>#75 - Olívia R$ 72.012,20</t>
  </si>
  <si>
    <t>Total: R$ 127.726,71</t>
  </si>
  <si>
    <t>Faturamento Jul/2026 | 01/07/2026 a 31/07/2026</t>
  </si>
  <si>
    <t>#116 - Bruno Toyo R$ 8.338,79</t>
  </si>
  <si>
    <t>#114 - Gabriele R$ 27.038,76</t>
  </si>
  <si>
    <t>#57 - Marcello R$ 31.877,30</t>
  </si>
  <si>
    <t>#75 - Olívia R$ 96.915,07</t>
  </si>
  <si>
    <t>Total: R$ 164.169,92</t>
  </si>
  <si>
    <t>Faturamento Ago/2026 | 01/08/2026 a 31/08/2026</t>
  </si>
  <si>
    <t>#116 - Bruno Toyo R$ 6.319,03</t>
  </si>
  <si>
    <t>#114 - Gabriele R$ 5.018,60</t>
  </si>
  <si>
    <t>#57 - Marcello R$ 2.129,69</t>
  </si>
  <si>
    <t>#75 - Olívia R$ 57.444,33</t>
  </si>
  <si>
    <t>Faturamento Set/2026 | 01/09/2026 a 30/09/2026</t>
  </si>
  <si>
    <t>#116 - Bruno Toyo R$ 716,70</t>
  </si>
  <si>
    <t>#114 - Gabriele R$ 18.097,37</t>
  </si>
  <si>
    <t>#75 - Olívia R$ 50.991,40</t>
  </si>
  <si>
    <t>Faturamento Out/2026 | 01/10/2026 a 31/10/2026</t>
  </si>
  <si>
    <t>#116 - Bruno Toyo R$ 2.680,42</t>
  </si>
  <si>
    <t>#114 - Gabriele R$ 1.416,43</t>
  </si>
  <si>
    <t>#75 - Olívia R$ 58.196,00</t>
  </si>
  <si>
    <t>Faturamento Nov/2026 | 01/11/2026 a 30/11/2026</t>
  </si>
  <si>
    <t>#75 - Olívia R$ 0,00</t>
  </si>
  <si>
    <t>Faturamento Dez/2026 | 01/12/2026 a 31/12/2026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</si>
</sst>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/yyyy"/>
  </numFmts>
  <fonts count="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8E5F2"/>
        <bgColor rgb="FFD8E5F2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Fill="1" applyFont="1"/>
    <xf borderId="0" fillId="0" fontId="2" numFmtId="164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3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" numFmtId="0" xfId="0" applyFont="1"/>
    <xf borderId="0" fillId="0" fontId="2" numFmtId="3" xfId="0" applyFont="1" applyNumberFormat="1"/>
    <xf borderId="0" fillId="0" fontId="2" numFmtId="4" xfId="0" applyFont="1" applyNumberFormat="1"/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</row>
    <row r="3">
      <c r="A3" s="3" t="s">
        <v>2</v>
      </c>
    </row>
    <row r="5">
      <c r="A5" s="4" t="s">
        <v>3</v>
      </c>
      <c r="B5" s="4" t="s">
        <v>4</v>
      </c>
      <c r="C5" s="4" t="s">
        <v>5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>
        <v>45658.0</v>
      </c>
      <c r="B6" s="7">
        <v>6.0</v>
      </c>
      <c r="C6" s="8">
        <v>43349.5</v>
      </c>
    </row>
    <row r="7">
      <c r="A7" s="6">
        <v>45689.0</v>
      </c>
      <c r="B7" s="7">
        <v>7.0</v>
      </c>
      <c r="C7" s="8">
        <v>62563.6</v>
      </c>
    </row>
    <row r="8">
      <c r="A8" s="6">
        <v>45717.0</v>
      </c>
      <c r="B8" s="7">
        <v>8.0</v>
      </c>
      <c r="C8" s="8">
        <v>234838.2</v>
      </c>
    </row>
    <row r="9">
      <c r="A9" s="6">
        <v>45748.0</v>
      </c>
      <c r="B9" s="7">
        <v>8.0</v>
      </c>
      <c r="C9" s="8">
        <v>323093.2</v>
      </c>
    </row>
    <row r="10">
      <c r="A10" s="6">
        <v>45778.0</v>
      </c>
      <c r="B10" s="7">
        <v>8.0</v>
      </c>
      <c r="C10" s="8">
        <v>310490.2</v>
      </c>
    </row>
    <row r="11">
      <c r="A11" s="6">
        <v>45809.0</v>
      </c>
      <c r="B11" s="7">
        <v>8.0</v>
      </c>
      <c r="C11" s="8">
        <v>363091.2</v>
      </c>
    </row>
    <row r="12">
      <c r="A12" s="6">
        <v>45839.0</v>
      </c>
      <c r="B12" s="7">
        <v>7.0</v>
      </c>
      <c r="C12" s="8">
        <v>49927.1</v>
      </c>
    </row>
    <row r="13">
      <c r="A13" s="6">
        <v>45870.0</v>
      </c>
      <c r="B13" s="7">
        <v>7.0</v>
      </c>
      <c r="C13" s="8">
        <v>23489.8</v>
      </c>
    </row>
    <row r="14">
      <c r="A14" s="6">
        <v>45901.0</v>
      </c>
      <c r="B14" s="7">
        <v>8.0</v>
      </c>
      <c r="C14" s="8">
        <v>227020.6</v>
      </c>
    </row>
    <row r="15">
      <c r="A15" s="6">
        <v>45931.0</v>
      </c>
      <c r="B15" s="7">
        <v>7.0</v>
      </c>
      <c r="C15" s="8">
        <v>421078.48</v>
      </c>
    </row>
    <row r="16">
      <c r="A16" s="6">
        <v>45962.0</v>
      </c>
      <c r="B16" s="7">
        <v>8.0</v>
      </c>
      <c r="C16" s="8">
        <v>236195.16</v>
      </c>
    </row>
    <row r="17">
      <c r="A17" s="9">
        <v>45992.0</v>
      </c>
      <c r="B17" s="10">
        <v>8.0</v>
      </c>
      <c r="C17" s="11">
        <v>352489.66</v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6">
        <v>46023.0</v>
      </c>
      <c r="B18" s="7">
        <v>7.0</v>
      </c>
      <c r="C18" s="8">
        <v>41482.48</v>
      </c>
    </row>
    <row r="19">
      <c r="A19" s="6">
        <v>46054.0</v>
      </c>
      <c r="B19" s="7">
        <v>8.0</v>
      </c>
      <c r="C19" s="8">
        <v>336816.32</v>
      </c>
    </row>
    <row r="20">
      <c r="A20" s="6">
        <v>46082.0</v>
      </c>
      <c r="B20" s="7">
        <v>8.0</v>
      </c>
      <c r="C20" s="8">
        <v>283544.5</v>
      </c>
    </row>
    <row r="21">
      <c r="A21" s="6">
        <v>46113.0</v>
      </c>
      <c r="B21" s="7">
        <v>7.0</v>
      </c>
      <c r="C21" s="8">
        <v>92195.4</v>
      </c>
    </row>
    <row r="22">
      <c r="A22" s="6">
        <v>46143.0</v>
      </c>
      <c r="B22" s="7">
        <v>7.0</v>
      </c>
      <c r="C22" s="8">
        <v>80063.83</v>
      </c>
    </row>
    <row r="23">
      <c r="A23" s="6">
        <v>46174.0</v>
      </c>
      <c r="B23" s="7">
        <v>8.0</v>
      </c>
      <c r="C23" s="8">
        <v>255453.42</v>
      </c>
    </row>
    <row r="24">
      <c r="A24" s="6">
        <v>46204.0</v>
      </c>
      <c r="B24" s="7">
        <v>8.0</v>
      </c>
      <c r="C24" s="8">
        <v>328339.84</v>
      </c>
    </row>
    <row r="25">
      <c r="A25" s="6">
        <v>46235.0</v>
      </c>
      <c r="B25" s="7">
        <v>7.0</v>
      </c>
      <c r="C25" s="8">
        <v>70911.65</v>
      </c>
    </row>
    <row r="26">
      <c r="A26" s="6">
        <v>46266.0</v>
      </c>
      <c r="B26" s="7">
        <v>7.0</v>
      </c>
      <c r="C26" s="8">
        <v>69805.47</v>
      </c>
    </row>
    <row r="27">
      <c r="A27" s="6">
        <v>46296.0</v>
      </c>
      <c r="B27" s="7">
        <v>7.0</v>
      </c>
      <c r="C27" s="8">
        <v>62292.85</v>
      </c>
    </row>
    <row r="28">
      <c r="A28" s="6">
        <v>46327.0</v>
      </c>
      <c r="B28" s="7">
        <v>7.0</v>
      </c>
      <c r="C28" s="8">
        <v>0.0</v>
      </c>
    </row>
    <row r="29">
      <c r="A29" s="6">
        <v>46357.0</v>
      </c>
      <c r="B29" s="7">
        <v>7.0</v>
      </c>
      <c r="C29" s="8">
        <v>0.0</v>
      </c>
    </row>
    <row r="30">
      <c r="B30" s="13"/>
      <c r="C30" s="14"/>
    </row>
    <row r="31">
      <c r="A31" s="3" t="s">
        <v>6</v>
      </c>
      <c r="B31" s="13">
        <f t="shared" ref="B31:C31" si="1">SUM(B6:B29)</f>
        <v>178</v>
      </c>
      <c r="C31" s="14">
        <f t="shared" si="1"/>
        <v>4268532.46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</v>
      </c>
    </row>
    <row r="2">
      <c r="A2" s="3" t="s">
        <v>8</v>
      </c>
    </row>
    <row r="4">
      <c r="A4" s="15" t="s">
        <v>9</v>
      </c>
    </row>
    <row r="5">
      <c r="A5" s="3" t="s">
        <v>10</v>
      </c>
      <c r="B5" s="3" t="s">
        <v>11</v>
      </c>
      <c r="C5" s="3" t="s">
        <v>12</v>
      </c>
    </row>
    <row r="6">
      <c r="A6" s="3" t="s">
        <v>13</v>
      </c>
      <c r="B6" s="7">
        <v>1.0</v>
      </c>
      <c r="C6" s="8">
        <v>33125.6</v>
      </c>
    </row>
    <row r="7">
      <c r="A7" s="3" t="s">
        <v>14</v>
      </c>
      <c r="B7" s="7">
        <v>1.0</v>
      </c>
      <c r="C7" s="8">
        <v>9949.1</v>
      </c>
    </row>
    <row r="8">
      <c r="A8" s="3" t="s">
        <v>15</v>
      </c>
      <c r="B8" s="7">
        <v>1.0</v>
      </c>
      <c r="C8" s="8">
        <v>274.8</v>
      </c>
    </row>
    <row r="9">
      <c r="A9" s="3" t="s">
        <v>16</v>
      </c>
      <c r="B9" s="7">
        <v>1.0</v>
      </c>
      <c r="C9" s="8">
        <v>0.0</v>
      </c>
    </row>
    <row r="10">
      <c r="A10" s="3" t="s">
        <v>17</v>
      </c>
      <c r="B10" s="7">
        <v>1.0</v>
      </c>
      <c r="C10" s="8">
        <v>0.0</v>
      </c>
    </row>
    <row r="11">
      <c r="A11" s="3" t="s">
        <v>18</v>
      </c>
      <c r="B11" s="7">
        <v>1.0</v>
      </c>
      <c r="C11" s="8">
        <v>0.0</v>
      </c>
    </row>
    <row r="12">
      <c r="A12" s="3" t="s">
        <v>19</v>
      </c>
      <c r="B12" s="13">
        <f t="shared" ref="B12:C12" si="1">SUM(B6:B11)</f>
        <v>6</v>
      </c>
      <c r="C12" s="14">
        <f t="shared" si="1"/>
        <v>43349.5</v>
      </c>
    </row>
    <row r="14">
      <c r="A14" s="15" t="s">
        <v>20</v>
      </c>
    </row>
    <row r="15">
      <c r="A15" s="3" t="s">
        <v>10</v>
      </c>
      <c r="B15" s="3" t="s">
        <v>11</v>
      </c>
      <c r="C15" s="3" t="s">
        <v>12</v>
      </c>
    </row>
    <row r="16">
      <c r="A16" s="3" t="s">
        <v>14</v>
      </c>
      <c r="B16" s="7">
        <v>1.0</v>
      </c>
      <c r="C16" s="8">
        <v>29592.9</v>
      </c>
    </row>
    <row r="17">
      <c r="A17" s="3" t="s">
        <v>21</v>
      </c>
      <c r="B17" s="7">
        <v>1.0</v>
      </c>
      <c r="C17" s="8">
        <v>22348.6</v>
      </c>
    </row>
    <row r="18">
      <c r="A18" s="3" t="s">
        <v>13</v>
      </c>
      <c r="B18" s="7">
        <v>1.0</v>
      </c>
      <c r="C18" s="8">
        <v>8003.9</v>
      </c>
    </row>
    <row r="19">
      <c r="A19" s="3" t="s">
        <v>15</v>
      </c>
      <c r="B19" s="7">
        <v>1.0</v>
      </c>
      <c r="C19" s="8">
        <v>2618.2</v>
      </c>
    </row>
    <row r="20">
      <c r="A20" s="3" t="s">
        <v>16</v>
      </c>
      <c r="B20" s="7">
        <v>1.0</v>
      </c>
      <c r="C20" s="8">
        <v>0.0</v>
      </c>
    </row>
    <row r="21">
      <c r="A21" s="3" t="s">
        <v>17</v>
      </c>
      <c r="B21" s="7">
        <v>1.0</v>
      </c>
      <c r="C21" s="8">
        <v>0.0</v>
      </c>
    </row>
    <row r="22">
      <c r="A22" s="3" t="s">
        <v>18</v>
      </c>
      <c r="B22" s="7">
        <v>1.0</v>
      </c>
      <c r="C22" s="8">
        <v>0.0</v>
      </c>
    </row>
    <row r="23">
      <c r="A23" s="3" t="s">
        <v>19</v>
      </c>
      <c r="B23" s="13">
        <f t="shared" ref="B23:C23" si="2">SUM(B16:B22)</f>
        <v>7</v>
      </c>
      <c r="C23" s="14">
        <f t="shared" si="2"/>
        <v>62563.6</v>
      </c>
    </row>
    <row r="25">
      <c r="A25" s="15" t="s">
        <v>22</v>
      </c>
    </row>
    <row r="26">
      <c r="A26" s="3" t="s">
        <v>10</v>
      </c>
      <c r="B26" s="3" t="s">
        <v>11</v>
      </c>
      <c r="C26" s="3" t="s">
        <v>12</v>
      </c>
    </row>
    <row r="27">
      <c r="A27" s="3" t="s">
        <v>23</v>
      </c>
      <c r="B27" s="7">
        <v>1.0</v>
      </c>
      <c r="C27" s="8">
        <v>117419.1</v>
      </c>
    </row>
    <row r="28">
      <c r="A28" s="3" t="s">
        <v>21</v>
      </c>
      <c r="B28" s="7">
        <v>1.0</v>
      </c>
      <c r="C28" s="8">
        <v>49979.9</v>
      </c>
    </row>
    <row r="29">
      <c r="A29" s="3" t="s">
        <v>14</v>
      </c>
      <c r="B29" s="7">
        <v>1.0</v>
      </c>
      <c r="C29" s="8">
        <v>41210.7</v>
      </c>
    </row>
    <row r="30">
      <c r="A30" s="3" t="s">
        <v>13</v>
      </c>
      <c r="B30" s="7">
        <v>1.0</v>
      </c>
      <c r="C30" s="8">
        <v>26228.5</v>
      </c>
    </row>
    <row r="31">
      <c r="A31" s="3" t="s">
        <v>16</v>
      </c>
      <c r="B31" s="7">
        <v>1.0</v>
      </c>
      <c r="C31" s="8">
        <v>0.0</v>
      </c>
    </row>
    <row r="32">
      <c r="A32" s="3" t="s">
        <v>17</v>
      </c>
      <c r="B32" s="7">
        <v>1.0</v>
      </c>
      <c r="C32" s="8">
        <v>0.0</v>
      </c>
    </row>
    <row r="33">
      <c r="A33" s="3" t="s">
        <v>18</v>
      </c>
      <c r="B33" s="7">
        <v>1.0</v>
      </c>
      <c r="C33" s="8">
        <v>0.0</v>
      </c>
    </row>
    <row r="34">
      <c r="A34" s="3" t="s">
        <v>15</v>
      </c>
      <c r="B34" s="7">
        <v>1.0</v>
      </c>
      <c r="C34" s="8">
        <v>0.0</v>
      </c>
    </row>
    <row r="35">
      <c r="A35" s="3" t="s">
        <v>19</v>
      </c>
      <c r="B35" s="13">
        <f t="shared" ref="B35:C35" si="3">SUM(B27:B34)</f>
        <v>8</v>
      </c>
      <c r="C35" s="14">
        <f t="shared" si="3"/>
        <v>234838.2</v>
      </c>
    </row>
    <row r="37">
      <c r="A37" s="15" t="s">
        <v>24</v>
      </c>
    </row>
    <row r="38">
      <c r="A38" s="3" t="s">
        <v>10</v>
      </c>
      <c r="B38" s="3" t="s">
        <v>11</v>
      </c>
      <c r="C38" s="3" t="s">
        <v>12</v>
      </c>
    </row>
    <row r="39">
      <c r="A39" s="3" t="s">
        <v>23</v>
      </c>
      <c r="B39" s="7">
        <v>1.0</v>
      </c>
      <c r="C39" s="8">
        <v>161546.6</v>
      </c>
    </row>
    <row r="40">
      <c r="A40" s="3" t="s">
        <v>13</v>
      </c>
      <c r="B40" s="7">
        <v>1.0</v>
      </c>
      <c r="C40" s="8">
        <v>117662.0</v>
      </c>
    </row>
    <row r="41">
      <c r="A41" s="3" t="s">
        <v>21</v>
      </c>
      <c r="B41" s="7">
        <v>1.0</v>
      </c>
      <c r="C41" s="8">
        <v>32314.3</v>
      </c>
    </row>
    <row r="42">
      <c r="A42" s="3" t="s">
        <v>14</v>
      </c>
      <c r="B42" s="7">
        <v>1.0</v>
      </c>
      <c r="C42" s="8">
        <v>11570.3</v>
      </c>
    </row>
    <row r="43">
      <c r="A43" s="3" t="s">
        <v>16</v>
      </c>
      <c r="B43" s="7">
        <v>1.0</v>
      </c>
      <c r="C43" s="8">
        <v>0.0</v>
      </c>
    </row>
    <row r="44">
      <c r="A44" s="3" t="s">
        <v>17</v>
      </c>
      <c r="B44" s="7">
        <v>1.0</v>
      </c>
      <c r="C44" s="8">
        <v>0.0</v>
      </c>
    </row>
    <row r="45">
      <c r="A45" s="3" t="s">
        <v>18</v>
      </c>
      <c r="B45" s="7">
        <v>1.0</v>
      </c>
      <c r="C45" s="8">
        <v>0.0</v>
      </c>
    </row>
    <row r="46">
      <c r="A46" s="3" t="s">
        <v>15</v>
      </c>
      <c r="B46" s="7">
        <v>1.0</v>
      </c>
      <c r="C46" s="8">
        <v>0.0</v>
      </c>
    </row>
    <row r="47">
      <c r="A47" s="3" t="s">
        <v>19</v>
      </c>
      <c r="B47" s="13">
        <f t="shared" ref="B47:C47" si="4">SUM(B39:B46)</f>
        <v>8</v>
      </c>
      <c r="C47" s="14">
        <f t="shared" si="4"/>
        <v>323093.2</v>
      </c>
    </row>
    <row r="49">
      <c r="A49" s="15" t="s">
        <v>25</v>
      </c>
    </row>
    <row r="50">
      <c r="A50" s="3" t="s">
        <v>10</v>
      </c>
      <c r="B50" s="3" t="s">
        <v>11</v>
      </c>
      <c r="C50" s="3" t="s">
        <v>12</v>
      </c>
    </row>
    <row r="51">
      <c r="A51" s="3" t="s">
        <v>23</v>
      </c>
      <c r="B51" s="7">
        <v>1.0</v>
      </c>
      <c r="C51" s="8">
        <v>155245.1</v>
      </c>
    </row>
    <row r="52">
      <c r="A52" s="3" t="s">
        <v>13</v>
      </c>
      <c r="B52" s="7">
        <v>1.0</v>
      </c>
      <c r="C52" s="8">
        <v>93329.9</v>
      </c>
    </row>
    <row r="53">
      <c r="A53" s="3" t="s">
        <v>14</v>
      </c>
      <c r="B53" s="7">
        <v>1.0</v>
      </c>
      <c r="C53" s="8">
        <v>36349.8</v>
      </c>
    </row>
    <row r="54">
      <c r="A54" s="3" t="s">
        <v>21</v>
      </c>
      <c r="B54" s="7">
        <v>1.0</v>
      </c>
      <c r="C54" s="8">
        <v>24013.6</v>
      </c>
    </row>
    <row r="55">
      <c r="A55" s="3" t="s">
        <v>15</v>
      </c>
      <c r="B55" s="7">
        <v>1.0</v>
      </c>
      <c r="C55" s="8">
        <v>1551.8</v>
      </c>
    </row>
    <row r="56">
      <c r="A56" s="3" t="s">
        <v>16</v>
      </c>
      <c r="B56" s="7">
        <v>1.0</v>
      </c>
      <c r="C56" s="8">
        <v>0.0</v>
      </c>
    </row>
    <row r="57">
      <c r="A57" s="3" t="s">
        <v>17</v>
      </c>
      <c r="B57" s="7">
        <v>1.0</v>
      </c>
      <c r="C57" s="8">
        <v>0.0</v>
      </c>
    </row>
    <row r="58">
      <c r="A58" s="3" t="s">
        <v>18</v>
      </c>
      <c r="B58" s="7">
        <v>1.0</v>
      </c>
      <c r="C58" s="8">
        <v>0.0</v>
      </c>
    </row>
    <row r="59">
      <c r="A59" s="3" t="s">
        <v>19</v>
      </c>
      <c r="B59" s="13">
        <f t="shared" ref="B59:C59" si="5">SUM(B51:B58)</f>
        <v>8</v>
      </c>
      <c r="C59" s="14">
        <f t="shared" si="5"/>
        <v>310490.2</v>
      </c>
    </row>
    <row r="61">
      <c r="A61" s="15" t="s">
        <v>26</v>
      </c>
    </row>
    <row r="62">
      <c r="A62" s="3" t="s">
        <v>10</v>
      </c>
      <c r="B62" s="3" t="s">
        <v>11</v>
      </c>
      <c r="C62" s="3" t="s">
        <v>12</v>
      </c>
    </row>
    <row r="63">
      <c r="A63" s="3" t="s">
        <v>23</v>
      </c>
      <c r="B63" s="7">
        <v>1.0</v>
      </c>
      <c r="C63" s="8">
        <v>181545.6</v>
      </c>
    </row>
    <row r="64">
      <c r="A64" s="3" t="s">
        <v>13</v>
      </c>
      <c r="B64" s="7">
        <v>1.0</v>
      </c>
      <c r="C64" s="8">
        <v>84573.6</v>
      </c>
    </row>
    <row r="65">
      <c r="A65" s="3" t="s">
        <v>21</v>
      </c>
      <c r="B65" s="7">
        <v>1.0</v>
      </c>
      <c r="C65" s="8">
        <v>65315.9</v>
      </c>
    </row>
    <row r="66">
      <c r="A66" s="3" t="s">
        <v>14</v>
      </c>
      <c r="B66" s="7">
        <v>1.0</v>
      </c>
      <c r="C66" s="8">
        <v>29450.1</v>
      </c>
    </row>
    <row r="67">
      <c r="A67" s="3" t="s">
        <v>15</v>
      </c>
      <c r="B67" s="7">
        <v>1.0</v>
      </c>
      <c r="C67" s="8">
        <v>2206.0</v>
      </c>
    </row>
    <row r="68">
      <c r="A68" s="3" t="s">
        <v>16</v>
      </c>
      <c r="B68" s="7">
        <v>1.0</v>
      </c>
      <c r="C68" s="8">
        <v>0.0</v>
      </c>
    </row>
    <row r="69">
      <c r="A69" s="3" t="s">
        <v>17</v>
      </c>
      <c r="B69" s="7">
        <v>1.0</v>
      </c>
      <c r="C69" s="8">
        <v>0.0</v>
      </c>
    </row>
    <row r="70">
      <c r="A70" s="3" t="s">
        <v>18</v>
      </c>
      <c r="B70" s="7">
        <v>1.0</v>
      </c>
      <c r="C70" s="8">
        <v>0.0</v>
      </c>
    </row>
    <row r="71">
      <c r="A71" s="3" t="s">
        <v>19</v>
      </c>
      <c r="B71" s="13">
        <f t="shared" ref="B71:C71" si="6">SUM(B63:B70)</f>
        <v>8</v>
      </c>
      <c r="C71" s="14">
        <f t="shared" si="6"/>
        <v>363091.2</v>
      </c>
    </row>
    <row r="73">
      <c r="A73" s="15" t="s">
        <v>27</v>
      </c>
    </row>
    <row r="74">
      <c r="A74" s="3" t="s">
        <v>10</v>
      </c>
      <c r="B74" s="3" t="s">
        <v>11</v>
      </c>
      <c r="C74" s="3" t="s">
        <v>12</v>
      </c>
    </row>
    <row r="75">
      <c r="A75" s="3" t="s">
        <v>21</v>
      </c>
      <c r="B75" s="7">
        <v>1.0</v>
      </c>
      <c r="C75" s="8">
        <v>24028.4</v>
      </c>
    </row>
    <row r="76">
      <c r="A76" s="3" t="s">
        <v>14</v>
      </c>
      <c r="B76" s="7">
        <v>1.0</v>
      </c>
      <c r="C76" s="8">
        <v>14061.6</v>
      </c>
    </row>
    <row r="77">
      <c r="A77" s="3" t="s">
        <v>13</v>
      </c>
      <c r="B77" s="7">
        <v>1.0</v>
      </c>
      <c r="C77" s="8">
        <v>11837.1</v>
      </c>
    </row>
    <row r="78">
      <c r="A78" s="3" t="s">
        <v>16</v>
      </c>
      <c r="B78" s="7">
        <v>1.0</v>
      </c>
      <c r="C78" s="8">
        <v>0.0</v>
      </c>
    </row>
    <row r="79">
      <c r="A79" s="3" t="s">
        <v>17</v>
      </c>
      <c r="B79" s="7">
        <v>1.0</v>
      </c>
      <c r="C79" s="8">
        <v>0.0</v>
      </c>
    </row>
    <row r="80">
      <c r="A80" s="3" t="s">
        <v>18</v>
      </c>
      <c r="B80" s="7">
        <v>1.0</v>
      </c>
      <c r="C80" s="8">
        <v>0.0</v>
      </c>
    </row>
    <row r="81">
      <c r="A81" s="3" t="s">
        <v>15</v>
      </c>
      <c r="B81" s="7">
        <v>1.0</v>
      </c>
      <c r="C81" s="8">
        <v>0.0</v>
      </c>
    </row>
    <row r="82">
      <c r="A82" s="3" t="s">
        <v>19</v>
      </c>
      <c r="B82" s="13">
        <f t="shared" ref="B82:C82" si="7">SUM(B75:B81)</f>
        <v>7</v>
      </c>
      <c r="C82" s="14">
        <f t="shared" si="7"/>
        <v>49927.1</v>
      </c>
    </row>
    <row r="84">
      <c r="A84" s="15" t="s">
        <v>28</v>
      </c>
    </row>
    <row r="85">
      <c r="A85" s="3" t="s">
        <v>10</v>
      </c>
      <c r="B85" s="3" t="s">
        <v>11</v>
      </c>
      <c r="C85" s="3" t="s">
        <v>12</v>
      </c>
    </row>
    <row r="86">
      <c r="A86" s="3" t="s">
        <v>21</v>
      </c>
      <c r="B86" s="7">
        <v>1.0</v>
      </c>
      <c r="C86" s="8">
        <v>10975.5</v>
      </c>
    </row>
    <row r="87">
      <c r="A87" s="3" t="s">
        <v>15</v>
      </c>
      <c r="B87" s="7">
        <v>1.0</v>
      </c>
      <c r="C87" s="8">
        <v>8407.4</v>
      </c>
    </row>
    <row r="88">
      <c r="A88" s="3" t="s">
        <v>13</v>
      </c>
      <c r="B88" s="7">
        <v>1.0</v>
      </c>
      <c r="C88" s="8">
        <v>4106.9</v>
      </c>
    </row>
    <row r="89">
      <c r="A89" s="3" t="s">
        <v>16</v>
      </c>
      <c r="B89" s="7">
        <v>1.0</v>
      </c>
      <c r="C89" s="8">
        <v>0.0</v>
      </c>
    </row>
    <row r="90">
      <c r="A90" s="3" t="s">
        <v>17</v>
      </c>
      <c r="B90" s="7">
        <v>1.0</v>
      </c>
      <c r="C90" s="8">
        <v>0.0</v>
      </c>
    </row>
    <row r="91">
      <c r="A91" s="3" t="s">
        <v>14</v>
      </c>
      <c r="B91" s="7">
        <v>1.0</v>
      </c>
      <c r="C91" s="8">
        <v>0.0</v>
      </c>
    </row>
    <row r="92">
      <c r="A92" s="3" t="s">
        <v>18</v>
      </c>
      <c r="B92" s="7">
        <v>1.0</v>
      </c>
      <c r="C92" s="8">
        <v>0.0</v>
      </c>
    </row>
    <row r="93">
      <c r="A93" s="3" t="s">
        <v>19</v>
      </c>
      <c r="B93" s="13">
        <f t="shared" ref="B93:C93" si="8">SUM(B86:B92)</f>
        <v>7</v>
      </c>
      <c r="C93" s="14">
        <f t="shared" si="8"/>
        <v>23489.8</v>
      </c>
    </row>
    <row r="95">
      <c r="A95" s="15" t="s">
        <v>29</v>
      </c>
    </row>
    <row r="96">
      <c r="A96" s="3" t="s">
        <v>10</v>
      </c>
      <c r="B96" s="3" t="s">
        <v>11</v>
      </c>
      <c r="C96" s="3" t="s">
        <v>12</v>
      </c>
    </row>
    <row r="97">
      <c r="A97" s="3" t="s">
        <v>23</v>
      </c>
      <c r="B97" s="7">
        <v>1.0</v>
      </c>
      <c r="C97" s="8">
        <v>113510.3</v>
      </c>
    </row>
    <row r="98">
      <c r="A98" s="3" t="s">
        <v>13</v>
      </c>
      <c r="B98" s="7">
        <v>1.0</v>
      </c>
      <c r="C98" s="8">
        <v>69579.1</v>
      </c>
    </row>
    <row r="99">
      <c r="A99" s="3" t="s">
        <v>21</v>
      </c>
      <c r="B99" s="7">
        <v>1.0</v>
      </c>
      <c r="C99" s="8">
        <v>38630.9</v>
      </c>
    </row>
    <row r="100">
      <c r="A100" s="3" t="s">
        <v>15</v>
      </c>
      <c r="B100" s="7">
        <v>1.0</v>
      </c>
      <c r="C100" s="8">
        <v>5300.3</v>
      </c>
    </row>
    <row r="101">
      <c r="A101" s="3" t="s">
        <v>16</v>
      </c>
      <c r="B101" s="7">
        <v>1.0</v>
      </c>
      <c r="C101" s="8">
        <v>0.0</v>
      </c>
    </row>
    <row r="102">
      <c r="A102" s="3" t="s">
        <v>17</v>
      </c>
      <c r="B102" s="7">
        <v>1.0</v>
      </c>
      <c r="C102" s="8">
        <v>0.0</v>
      </c>
    </row>
    <row r="103">
      <c r="A103" s="3" t="s">
        <v>14</v>
      </c>
      <c r="B103" s="7">
        <v>1.0</v>
      </c>
      <c r="C103" s="8">
        <v>0.0</v>
      </c>
    </row>
    <row r="104">
      <c r="A104" s="3" t="s">
        <v>18</v>
      </c>
      <c r="B104" s="7">
        <v>1.0</v>
      </c>
      <c r="C104" s="8">
        <v>0.0</v>
      </c>
    </row>
    <row r="105">
      <c r="A105" s="3" t="s">
        <v>19</v>
      </c>
      <c r="B105" s="13">
        <f t="shared" ref="B105:C105" si="9">SUM(B97:B104)</f>
        <v>8</v>
      </c>
      <c r="C105" s="14">
        <f t="shared" si="9"/>
        <v>227020.6</v>
      </c>
    </row>
    <row r="107">
      <c r="A107" s="15" t="s">
        <v>30</v>
      </c>
    </row>
    <row r="108">
      <c r="A108" s="3" t="s">
        <v>10</v>
      </c>
      <c r="B108" s="3" t="s">
        <v>11</v>
      </c>
      <c r="C108" s="3" t="s">
        <v>12</v>
      </c>
    </row>
    <row r="109">
      <c r="A109" s="3" t="s">
        <v>23</v>
      </c>
      <c r="B109" s="7">
        <v>1.0</v>
      </c>
      <c r="C109" s="8">
        <v>200714.29</v>
      </c>
    </row>
    <row r="110">
      <c r="A110" s="3" t="s">
        <v>21</v>
      </c>
      <c r="B110" s="7">
        <v>1.0</v>
      </c>
      <c r="C110" s="8">
        <v>170298.3</v>
      </c>
    </row>
    <row r="111">
      <c r="A111" s="3" t="s">
        <v>15</v>
      </c>
      <c r="B111" s="7">
        <v>1.0</v>
      </c>
      <c r="C111" s="8">
        <v>25645.75</v>
      </c>
    </row>
    <row r="112">
      <c r="A112" s="3" t="s">
        <v>13</v>
      </c>
      <c r="B112" s="7">
        <v>1.0</v>
      </c>
      <c r="C112" s="8">
        <v>24420.14</v>
      </c>
    </row>
    <row r="113">
      <c r="A113" s="3" t="s">
        <v>16</v>
      </c>
      <c r="B113" s="7">
        <v>1.0</v>
      </c>
      <c r="C113" s="8">
        <v>0.0</v>
      </c>
    </row>
    <row r="114">
      <c r="A114" s="3" t="s">
        <v>17</v>
      </c>
      <c r="B114" s="7">
        <v>1.0</v>
      </c>
      <c r="C114" s="8">
        <v>0.0</v>
      </c>
    </row>
    <row r="115">
      <c r="A115" s="3" t="s">
        <v>18</v>
      </c>
      <c r="B115" s="7">
        <v>1.0</v>
      </c>
      <c r="C115" s="8">
        <v>0.0</v>
      </c>
    </row>
    <row r="116">
      <c r="A116" s="3" t="s">
        <v>19</v>
      </c>
      <c r="B116" s="13">
        <f t="shared" ref="B116:C116" si="10">SUM(B109:B115)</f>
        <v>7</v>
      </c>
      <c r="C116" s="14">
        <f t="shared" si="10"/>
        <v>421078.48</v>
      </c>
    </row>
    <row r="118">
      <c r="A118" s="15" t="s">
        <v>31</v>
      </c>
    </row>
    <row r="119">
      <c r="A119" s="3" t="s">
        <v>10</v>
      </c>
      <c r="B119" s="3" t="s">
        <v>11</v>
      </c>
      <c r="C119" s="3" t="s">
        <v>12</v>
      </c>
    </row>
    <row r="120">
      <c r="A120" s="3" t="s">
        <v>23</v>
      </c>
      <c r="B120" s="7">
        <v>1.0</v>
      </c>
      <c r="C120" s="8">
        <v>118097.58</v>
      </c>
    </row>
    <row r="121">
      <c r="A121" s="3" t="s">
        <v>21</v>
      </c>
      <c r="B121" s="7">
        <v>1.0</v>
      </c>
      <c r="C121" s="8">
        <v>70140.35</v>
      </c>
    </row>
    <row r="122">
      <c r="A122" s="3" t="s">
        <v>13</v>
      </c>
      <c r="B122" s="7">
        <v>1.0</v>
      </c>
      <c r="C122" s="8">
        <v>34233.13</v>
      </c>
    </row>
    <row r="123">
      <c r="A123" s="3" t="s">
        <v>15</v>
      </c>
      <c r="B123" s="7">
        <v>1.0</v>
      </c>
      <c r="C123" s="8">
        <v>13724.1</v>
      </c>
    </row>
    <row r="124">
      <c r="A124" s="3" t="s">
        <v>16</v>
      </c>
      <c r="B124" s="7">
        <v>1.0</v>
      </c>
      <c r="C124" s="8">
        <v>0.0</v>
      </c>
    </row>
    <row r="125">
      <c r="A125" s="3" t="s">
        <v>17</v>
      </c>
      <c r="B125" s="7">
        <v>1.0</v>
      </c>
      <c r="C125" s="8">
        <v>0.0</v>
      </c>
    </row>
    <row r="126">
      <c r="A126" s="3" t="s">
        <v>14</v>
      </c>
      <c r="B126" s="7">
        <v>1.0</v>
      </c>
      <c r="C126" s="8">
        <v>0.0</v>
      </c>
    </row>
    <row r="127">
      <c r="A127" s="3" t="s">
        <v>18</v>
      </c>
      <c r="B127" s="7">
        <v>1.0</v>
      </c>
      <c r="C127" s="8">
        <v>0.0</v>
      </c>
    </row>
    <row r="128">
      <c r="A128" s="3" t="s">
        <v>19</v>
      </c>
      <c r="B128" s="13">
        <f t="shared" ref="B128:C128" si="11">SUM(B120:B127)</f>
        <v>8</v>
      </c>
      <c r="C128" s="14">
        <f t="shared" si="11"/>
        <v>236195.16</v>
      </c>
    </row>
    <row r="130">
      <c r="A130" s="15" t="s">
        <v>32</v>
      </c>
    </row>
    <row r="131">
      <c r="A131" s="3" t="s">
        <v>10</v>
      </c>
      <c r="B131" s="3" t="s">
        <v>11</v>
      </c>
      <c r="C131" s="3" t="s">
        <v>12</v>
      </c>
    </row>
    <row r="132">
      <c r="A132" s="3" t="s">
        <v>23</v>
      </c>
      <c r="B132" s="7">
        <v>1.0</v>
      </c>
      <c r="C132" s="8">
        <v>176244.83</v>
      </c>
    </row>
    <row r="133">
      <c r="A133" s="3" t="s">
        <v>21</v>
      </c>
      <c r="B133" s="7">
        <v>1.0</v>
      </c>
      <c r="C133" s="8">
        <v>133147.75</v>
      </c>
    </row>
    <row r="134">
      <c r="A134" s="3" t="s">
        <v>15</v>
      </c>
      <c r="B134" s="7">
        <v>1.0</v>
      </c>
      <c r="C134" s="8">
        <v>22416.5</v>
      </c>
    </row>
    <row r="135">
      <c r="A135" s="3" t="s">
        <v>18</v>
      </c>
      <c r="B135" s="7">
        <v>1.0</v>
      </c>
      <c r="C135" s="8">
        <v>13452.28</v>
      </c>
    </row>
    <row r="136">
      <c r="A136" s="3" t="s">
        <v>13</v>
      </c>
      <c r="B136" s="7">
        <v>1.0</v>
      </c>
      <c r="C136" s="8">
        <v>7228.3</v>
      </c>
    </row>
    <row r="137">
      <c r="A137" s="3" t="s">
        <v>16</v>
      </c>
      <c r="B137" s="7">
        <v>1.0</v>
      </c>
      <c r="C137" s="8">
        <v>0.0</v>
      </c>
    </row>
    <row r="138">
      <c r="A138" s="3" t="s">
        <v>17</v>
      </c>
      <c r="B138" s="7">
        <v>1.0</v>
      </c>
      <c r="C138" s="8">
        <v>0.0</v>
      </c>
    </row>
    <row r="139">
      <c r="A139" s="3" t="s">
        <v>14</v>
      </c>
      <c r="B139" s="7">
        <v>1.0</v>
      </c>
      <c r="C139" s="8">
        <v>0.0</v>
      </c>
    </row>
    <row r="140">
      <c r="A140" s="3" t="s">
        <v>19</v>
      </c>
      <c r="B140" s="13">
        <f t="shared" ref="B140:C140" si="12">SUM(B132:B139)</f>
        <v>8</v>
      </c>
      <c r="C140" s="14">
        <f t="shared" si="12"/>
        <v>352489.66</v>
      </c>
    </row>
    <row r="142">
      <c r="A142" s="15" t="s">
        <v>33</v>
      </c>
    </row>
    <row r="143">
      <c r="A143" s="3" t="s">
        <v>10</v>
      </c>
      <c r="B143" s="3" t="s">
        <v>11</v>
      </c>
      <c r="C143" s="3" t="s">
        <v>12</v>
      </c>
    </row>
    <row r="144">
      <c r="A144" s="3" t="s">
        <v>18</v>
      </c>
      <c r="B144" s="7">
        <v>1.0</v>
      </c>
      <c r="C144" s="8">
        <v>19330.85</v>
      </c>
    </row>
    <row r="145">
      <c r="A145" s="3" t="s">
        <v>15</v>
      </c>
      <c r="B145" s="7">
        <v>1.0</v>
      </c>
      <c r="C145" s="8">
        <v>12663.2</v>
      </c>
    </row>
    <row r="146">
      <c r="A146" s="3" t="s">
        <v>13</v>
      </c>
      <c r="B146" s="7">
        <v>1.0</v>
      </c>
      <c r="C146" s="8">
        <v>7844.81</v>
      </c>
    </row>
    <row r="147">
      <c r="A147" s="3" t="s">
        <v>21</v>
      </c>
      <c r="B147" s="7">
        <v>1.0</v>
      </c>
      <c r="C147" s="8">
        <v>1643.62</v>
      </c>
    </row>
    <row r="148">
      <c r="A148" s="3" t="s">
        <v>16</v>
      </c>
      <c r="B148" s="7">
        <v>1.0</v>
      </c>
      <c r="C148" s="8">
        <v>0.0</v>
      </c>
    </row>
    <row r="149">
      <c r="A149" s="3" t="s">
        <v>17</v>
      </c>
      <c r="B149" s="7">
        <v>1.0</v>
      </c>
      <c r="C149" s="8">
        <v>0.0</v>
      </c>
    </row>
    <row r="150">
      <c r="A150" s="3" t="s">
        <v>14</v>
      </c>
      <c r="B150" s="7">
        <v>1.0</v>
      </c>
      <c r="C150" s="8">
        <v>0.0</v>
      </c>
    </row>
    <row r="151">
      <c r="A151" s="3" t="s">
        <v>19</v>
      </c>
      <c r="B151" s="13">
        <f t="shared" ref="B151:C151" si="13">SUM(B144:B150)</f>
        <v>7</v>
      </c>
      <c r="C151" s="14">
        <f t="shared" si="13"/>
        <v>41482.48</v>
      </c>
    </row>
    <row r="153">
      <c r="A153" s="15" t="s">
        <v>34</v>
      </c>
    </row>
    <row r="154">
      <c r="A154" s="3" t="s">
        <v>10</v>
      </c>
      <c r="B154" s="3" t="s">
        <v>11</v>
      </c>
      <c r="C154" s="3" t="s">
        <v>12</v>
      </c>
    </row>
    <row r="155">
      <c r="A155" s="3" t="s">
        <v>23</v>
      </c>
      <c r="B155" s="7">
        <v>1.0</v>
      </c>
      <c r="C155" s="8">
        <v>168408.16</v>
      </c>
    </row>
    <row r="156">
      <c r="A156" s="3" t="s">
        <v>13</v>
      </c>
      <c r="B156" s="7">
        <v>1.0</v>
      </c>
      <c r="C156" s="8">
        <v>81825.14</v>
      </c>
    </row>
    <row r="157">
      <c r="A157" s="3" t="s">
        <v>21</v>
      </c>
      <c r="B157" s="7">
        <v>1.0</v>
      </c>
      <c r="C157" s="8">
        <v>65816.75</v>
      </c>
    </row>
    <row r="158">
      <c r="A158" s="3" t="s">
        <v>18</v>
      </c>
      <c r="B158" s="7">
        <v>1.0</v>
      </c>
      <c r="C158" s="8">
        <v>17499.97</v>
      </c>
    </row>
    <row r="159">
      <c r="A159" s="3" t="s">
        <v>15</v>
      </c>
      <c r="B159" s="7">
        <v>1.0</v>
      </c>
      <c r="C159" s="8">
        <v>3266.3</v>
      </c>
    </row>
    <row r="160">
      <c r="A160" s="3" t="s">
        <v>16</v>
      </c>
      <c r="B160" s="7">
        <v>1.0</v>
      </c>
      <c r="C160" s="8">
        <v>0.0</v>
      </c>
    </row>
    <row r="161">
      <c r="A161" s="3" t="s">
        <v>17</v>
      </c>
      <c r="B161" s="7">
        <v>1.0</v>
      </c>
      <c r="C161" s="8">
        <v>0.0</v>
      </c>
    </row>
    <row r="162">
      <c r="A162" s="3" t="s">
        <v>14</v>
      </c>
      <c r="B162" s="7">
        <v>1.0</v>
      </c>
      <c r="C162" s="8">
        <v>0.0</v>
      </c>
    </row>
    <row r="163">
      <c r="A163" s="3" t="s">
        <v>19</v>
      </c>
      <c r="B163" s="13">
        <f t="shared" ref="B163:C163" si="14">SUM(B155:B162)</f>
        <v>8</v>
      </c>
      <c r="C163" s="14">
        <f t="shared" si="14"/>
        <v>336816.32</v>
      </c>
    </row>
    <row r="165">
      <c r="A165" s="15" t="s">
        <v>35</v>
      </c>
    </row>
    <row r="166">
      <c r="A166" s="3" t="s">
        <v>10</v>
      </c>
      <c r="B166" s="3" t="s">
        <v>11</v>
      </c>
      <c r="C166" s="3" t="s">
        <v>12</v>
      </c>
    </row>
    <row r="167">
      <c r="A167" s="3" t="s">
        <v>23</v>
      </c>
      <c r="B167" s="7">
        <v>1.0</v>
      </c>
      <c r="C167" s="8">
        <v>141772.25</v>
      </c>
    </row>
    <row r="168">
      <c r="A168" s="3" t="s">
        <v>13</v>
      </c>
      <c r="B168" s="7">
        <v>1.0</v>
      </c>
      <c r="C168" s="8">
        <v>61295.16</v>
      </c>
    </row>
    <row r="169">
      <c r="A169" s="3" t="s">
        <v>21</v>
      </c>
      <c r="B169" s="7">
        <v>1.0</v>
      </c>
      <c r="C169" s="8">
        <v>50960.03</v>
      </c>
    </row>
    <row r="170">
      <c r="A170" s="3" t="s">
        <v>15</v>
      </c>
      <c r="B170" s="7">
        <v>1.0</v>
      </c>
      <c r="C170" s="8">
        <v>22692.02</v>
      </c>
    </row>
    <row r="171">
      <c r="A171" s="3" t="s">
        <v>18</v>
      </c>
      <c r="B171" s="7">
        <v>1.0</v>
      </c>
      <c r="C171" s="8">
        <v>6825.04</v>
      </c>
    </row>
    <row r="172">
      <c r="A172" s="3" t="s">
        <v>16</v>
      </c>
      <c r="B172" s="7">
        <v>1.0</v>
      </c>
      <c r="C172" s="8">
        <v>0.0</v>
      </c>
    </row>
    <row r="173">
      <c r="A173" s="3" t="s">
        <v>17</v>
      </c>
      <c r="B173" s="7">
        <v>1.0</v>
      </c>
      <c r="C173" s="8">
        <v>0.0</v>
      </c>
    </row>
    <row r="174">
      <c r="A174" s="3" t="s">
        <v>14</v>
      </c>
      <c r="B174" s="7">
        <v>1.0</v>
      </c>
      <c r="C174" s="8">
        <v>0.0</v>
      </c>
    </row>
    <row r="175">
      <c r="A175" s="3" t="s">
        <v>19</v>
      </c>
      <c r="B175" s="13">
        <f t="shared" ref="B175:C175" si="15">SUM(B167:B174)</f>
        <v>8</v>
      </c>
      <c r="C175" s="14">
        <f t="shared" si="15"/>
        <v>283544.5</v>
      </c>
    </row>
    <row r="177">
      <c r="A177" s="15" t="s">
        <v>36</v>
      </c>
    </row>
    <row r="178">
      <c r="A178" s="3" t="s">
        <v>10</v>
      </c>
      <c r="B178" s="3" t="s">
        <v>11</v>
      </c>
      <c r="C178" s="3" t="s">
        <v>12</v>
      </c>
    </row>
    <row r="179">
      <c r="A179" s="3" t="s">
        <v>21</v>
      </c>
      <c r="B179" s="7">
        <v>1.0</v>
      </c>
      <c r="C179" s="8">
        <v>67968.0</v>
      </c>
    </row>
    <row r="180">
      <c r="A180" s="3" t="s">
        <v>15</v>
      </c>
      <c r="B180" s="7">
        <v>1.0</v>
      </c>
      <c r="C180" s="8">
        <v>21279.9</v>
      </c>
    </row>
    <row r="181">
      <c r="A181" s="3" t="s">
        <v>13</v>
      </c>
      <c r="B181" s="7">
        <v>1.0</v>
      </c>
      <c r="C181" s="8">
        <v>2947.5</v>
      </c>
    </row>
    <row r="182">
      <c r="A182" s="3" t="s">
        <v>16</v>
      </c>
      <c r="B182" s="7">
        <v>1.0</v>
      </c>
      <c r="C182" s="8">
        <v>0.0</v>
      </c>
    </row>
    <row r="183">
      <c r="A183" s="3" t="s">
        <v>17</v>
      </c>
      <c r="B183" s="7">
        <v>1.0</v>
      </c>
      <c r="C183" s="8">
        <v>0.0</v>
      </c>
    </row>
    <row r="184">
      <c r="A184" s="3" t="s">
        <v>14</v>
      </c>
      <c r="B184" s="7">
        <v>1.0</v>
      </c>
      <c r="C184" s="8">
        <v>0.0</v>
      </c>
    </row>
    <row r="185">
      <c r="A185" s="3" t="s">
        <v>18</v>
      </c>
      <c r="B185" s="7">
        <v>1.0</v>
      </c>
      <c r="C185" s="8">
        <v>0.0</v>
      </c>
    </row>
    <row r="186">
      <c r="A186" s="3" t="s">
        <v>19</v>
      </c>
      <c r="B186" s="13">
        <f t="shared" ref="B186:C186" si="16">SUM(B179:B185)</f>
        <v>7</v>
      </c>
      <c r="C186" s="14">
        <f t="shared" si="16"/>
        <v>92195.4</v>
      </c>
    </row>
    <row r="188">
      <c r="A188" s="15" t="s">
        <v>37</v>
      </c>
    </row>
    <row r="189">
      <c r="A189" s="3" t="s">
        <v>10</v>
      </c>
      <c r="B189" s="3" t="s">
        <v>11</v>
      </c>
      <c r="C189" s="3" t="s">
        <v>12</v>
      </c>
    </row>
    <row r="190">
      <c r="A190" s="3" t="s">
        <v>21</v>
      </c>
      <c r="B190" s="7">
        <v>1.0</v>
      </c>
      <c r="C190" s="8">
        <v>39220.97</v>
      </c>
    </row>
    <row r="191">
      <c r="A191" s="3" t="s">
        <v>13</v>
      </c>
      <c r="B191" s="7">
        <v>1.0</v>
      </c>
      <c r="C191" s="8">
        <v>19713.15</v>
      </c>
    </row>
    <row r="192">
      <c r="A192" s="3" t="s">
        <v>15</v>
      </c>
      <c r="B192" s="7">
        <v>1.0</v>
      </c>
      <c r="C192" s="8">
        <v>11027.6</v>
      </c>
    </row>
    <row r="193">
      <c r="A193" s="3" t="s">
        <v>18</v>
      </c>
      <c r="B193" s="7">
        <v>1.0</v>
      </c>
      <c r="C193" s="8">
        <v>10102.11</v>
      </c>
    </row>
    <row r="194">
      <c r="A194" s="3" t="s">
        <v>16</v>
      </c>
      <c r="B194" s="7">
        <v>1.0</v>
      </c>
      <c r="C194" s="8">
        <v>0.0</v>
      </c>
    </row>
    <row r="195">
      <c r="A195" s="3" t="s">
        <v>17</v>
      </c>
      <c r="B195" s="7">
        <v>1.0</v>
      </c>
      <c r="C195" s="8">
        <v>0.0</v>
      </c>
    </row>
    <row r="196">
      <c r="A196" s="3" t="s">
        <v>14</v>
      </c>
      <c r="B196" s="7">
        <v>1.0</v>
      </c>
      <c r="C196" s="8">
        <v>0.0</v>
      </c>
    </row>
    <row r="197">
      <c r="A197" s="3" t="s">
        <v>19</v>
      </c>
      <c r="B197" s="13">
        <f t="shared" ref="B197:C197" si="17">SUM(B190:B196)</f>
        <v>7</v>
      </c>
      <c r="C197" s="14">
        <f t="shared" si="17"/>
        <v>80063.83</v>
      </c>
    </row>
    <row r="199">
      <c r="A199" s="15" t="s">
        <v>38</v>
      </c>
    </row>
    <row r="200">
      <c r="A200" s="3" t="s">
        <v>10</v>
      </c>
      <c r="B200" s="3" t="s">
        <v>11</v>
      </c>
      <c r="C200" s="3" t="s">
        <v>12</v>
      </c>
    </row>
    <row r="201">
      <c r="A201" s="3" t="s">
        <v>23</v>
      </c>
      <c r="B201" s="7">
        <v>1.0</v>
      </c>
      <c r="C201" s="8">
        <v>127726.71</v>
      </c>
    </row>
    <row r="202">
      <c r="A202" s="3" t="s">
        <v>21</v>
      </c>
      <c r="B202" s="7">
        <v>1.0</v>
      </c>
      <c r="C202" s="8">
        <v>72012.2</v>
      </c>
    </row>
    <row r="203">
      <c r="A203" s="3" t="s">
        <v>15</v>
      </c>
      <c r="B203" s="7">
        <v>1.0</v>
      </c>
      <c r="C203" s="8">
        <v>47593.3</v>
      </c>
    </row>
    <row r="204">
      <c r="A204" s="3" t="s">
        <v>18</v>
      </c>
      <c r="B204" s="7">
        <v>1.0</v>
      </c>
      <c r="C204" s="8">
        <v>8121.21</v>
      </c>
    </row>
    <row r="205">
      <c r="A205" s="3" t="s">
        <v>16</v>
      </c>
      <c r="B205" s="7">
        <v>1.0</v>
      </c>
      <c r="C205" s="8">
        <v>0.0</v>
      </c>
    </row>
    <row r="206">
      <c r="A206" s="3" t="s">
        <v>17</v>
      </c>
      <c r="B206" s="7">
        <v>1.0</v>
      </c>
      <c r="C206" s="8">
        <v>0.0</v>
      </c>
    </row>
    <row r="207">
      <c r="A207" s="3" t="s">
        <v>14</v>
      </c>
      <c r="B207" s="7">
        <v>1.0</v>
      </c>
      <c r="C207" s="8">
        <v>0.0</v>
      </c>
    </row>
    <row r="208">
      <c r="A208" s="3" t="s">
        <v>13</v>
      </c>
      <c r="B208" s="7">
        <v>1.0</v>
      </c>
      <c r="C208" s="8">
        <v>0.0</v>
      </c>
    </row>
    <row r="209">
      <c r="A209" s="3" t="s">
        <v>19</v>
      </c>
      <c r="B209" s="13">
        <f t="shared" ref="B209:C209" si="18">SUM(B201:B208)</f>
        <v>8</v>
      </c>
      <c r="C209" s="14">
        <f t="shared" si="18"/>
        <v>255453.42</v>
      </c>
    </row>
    <row r="211">
      <c r="A211" s="15" t="s">
        <v>39</v>
      </c>
    </row>
    <row r="212">
      <c r="A212" s="3" t="s">
        <v>10</v>
      </c>
      <c r="B212" s="3" t="s">
        <v>11</v>
      </c>
      <c r="C212" s="3" t="s">
        <v>12</v>
      </c>
    </row>
    <row r="213">
      <c r="A213" s="3" t="s">
        <v>23</v>
      </c>
      <c r="B213" s="7">
        <v>1.0</v>
      </c>
      <c r="C213" s="8">
        <v>164169.92</v>
      </c>
    </row>
    <row r="214">
      <c r="A214" s="3" t="s">
        <v>21</v>
      </c>
      <c r="B214" s="7">
        <v>1.0</v>
      </c>
      <c r="C214" s="8">
        <v>96915.07</v>
      </c>
    </row>
    <row r="215">
      <c r="A215" s="3" t="s">
        <v>15</v>
      </c>
      <c r="B215" s="7">
        <v>1.0</v>
      </c>
      <c r="C215" s="8">
        <v>31877.3</v>
      </c>
    </row>
    <row r="216">
      <c r="A216" s="3" t="s">
        <v>18</v>
      </c>
      <c r="B216" s="7">
        <v>1.0</v>
      </c>
      <c r="C216" s="8">
        <v>27038.76</v>
      </c>
    </row>
    <row r="217">
      <c r="A217" s="3" t="s">
        <v>16</v>
      </c>
      <c r="B217" s="7">
        <v>1.0</v>
      </c>
      <c r="C217" s="8">
        <v>8338.79</v>
      </c>
    </row>
    <row r="218">
      <c r="A218" s="3" t="s">
        <v>17</v>
      </c>
      <c r="B218" s="7">
        <v>1.0</v>
      </c>
      <c r="C218" s="8">
        <v>0.0</v>
      </c>
    </row>
    <row r="219">
      <c r="A219" s="3" t="s">
        <v>14</v>
      </c>
      <c r="B219" s="7">
        <v>1.0</v>
      </c>
      <c r="C219" s="8">
        <v>0.0</v>
      </c>
    </row>
    <row r="220">
      <c r="A220" s="3" t="s">
        <v>13</v>
      </c>
      <c r="B220" s="7">
        <v>1.0</v>
      </c>
      <c r="C220" s="8">
        <v>0.0</v>
      </c>
    </row>
    <row r="221">
      <c r="A221" s="3" t="s">
        <v>19</v>
      </c>
      <c r="B221" s="13">
        <f t="shared" ref="B221:C221" si="19">SUM(B213:B220)</f>
        <v>8</v>
      </c>
      <c r="C221" s="14">
        <f t="shared" si="19"/>
        <v>328339.84</v>
      </c>
    </row>
    <row r="223">
      <c r="A223" s="15" t="s">
        <v>40</v>
      </c>
    </row>
    <row r="224">
      <c r="A224" s="3" t="s">
        <v>10</v>
      </c>
      <c r="B224" s="3" t="s">
        <v>11</v>
      </c>
      <c r="C224" s="3" t="s">
        <v>12</v>
      </c>
    </row>
    <row r="225">
      <c r="A225" s="3" t="s">
        <v>21</v>
      </c>
      <c r="B225" s="7">
        <v>1.0</v>
      </c>
      <c r="C225" s="8">
        <v>57444.33</v>
      </c>
    </row>
    <row r="226">
      <c r="A226" s="3" t="s">
        <v>16</v>
      </c>
      <c r="B226" s="7">
        <v>1.0</v>
      </c>
      <c r="C226" s="8">
        <v>6319.03</v>
      </c>
    </row>
    <row r="227">
      <c r="A227" s="3" t="s">
        <v>18</v>
      </c>
      <c r="B227" s="7">
        <v>1.0</v>
      </c>
      <c r="C227" s="8">
        <v>5018.6</v>
      </c>
    </row>
    <row r="228">
      <c r="A228" s="3" t="s">
        <v>15</v>
      </c>
      <c r="B228" s="7">
        <v>1.0</v>
      </c>
      <c r="C228" s="8">
        <v>2129.69</v>
      </c>
    </row>
    <row r="229">
      <c r="A229" s="3" t="s">
        <v>17</v>
      </c>
      <c r="B229" s="7">
        <v>1.0</v>
      </c>
      <c r="C229" s="8">
        <v>0.0</v>
      </c>
    </row>
    <row r="230">
      <c r="A230" s="3" t="s">
        <v>14</v>
      </c>
      <c r="B230" s="7">
        <v>1.0</v>
      </c>
      <c r="C230" s="8">
        <v>0.0</v>
      </c>
    </row>
    <row r="231">
      <c r="A231" s="3" t="s">
        <v>13</v>
      </c>
      <c r="B231" s="7">
        <v>1.0</v>
      </c>
      <c r="C231" s="8">
        <v>0.0</v>
      </c>
    </row>
    <row r="232">
      <c r="A232" s="3" t="s">
        <v>19</v>
      </c>
      <c r="B232" s="13">
        <f t="shared" ref="B232:C232" si="20">SUM(B225:B231)</f>
        <v>7</v>
      </c>
      <c r="C232" s="14">
        <f t="shared" si="20"/>
        <v>70911.65</v>
      </c>
    </row>
    <row r="234">
      <c r="A234" s="15" t="s">
        <v>41</v>
      </c>
    </row>
    <row r="235">
      <c r="A235" s="3" t="s">
        <v>10</v>
      </c>
      <c r="B235" s="3" t="s">
        <v>11</v>
      </c>
      <c r="C235" s="3" t="s">
        <v>12</v>
      </c>
    </row>
    <row r="236">
      <c r="A236" s="3" t="s">
        <v>21</v>
      </c>
      <c r="B236" s="7">
        <v>1.0</v>
      </c>
      <c r="C236" s="8">
        <v>50991.4</v>
      </c>
    </row>
    <row r="237">
      <c r="A237" s="3" t="s">
        <v>18</v>
      </c>
      <c r="B237" s="7">
        <v>1.0</v>
      </c>
      <c r="C237" s="8">
        <v>18097.37</v>
      </c>
    </row>
    <row r="238">
      <c r="A238" s="3" t="s">
        <v>16</v>
      </c>
      <c r="B238" s="7">
        <v>1.0</v>
      </c>
      <c r="C238" s="8">
        <v>716.7</v>
      </c>
    </row>
    <row r="239">
      <c r="A239" s="3" t="s">
        <v>17</v>
      </c>
      <c r="B239" s="7">
        <v>1.0</v>
      </c>
      <c r="C239" s="8">
        <v>0.0</v>
      </c>
    </row>
    <row r="240">
      <c r="A240" s="3" t="s">
        <v>14</v>
      </c>
      <c r="B240" s="7">
        <v>1.0</v>
      </c>
      <c r="C240" s="8">
        <v>0.0</v>
      </c>
    </row>
    <row r="241">
      <c r="A241" s="3" t="s">
        <v>13</v>
      </c>
      <c r="B241" s="7">
        <v>1.0</v>
      </c>
      <c r="C241" s="8">
        <v>0.0</v>
      </c>
    </row>
    <row r="242">
      <c r="A242" s="3" t="s">
        <v>15</v>
      </c>
      <c r="B242" s="7">
        <v>1.0</v>
      </c>
      <c r="C242" s="8">
        <v>0.0</v>
      </c>
    </row>
    <row r="243">
      <c r="A243" s="3" t="s">
        <v>19</v>
      </c>
      <c r="B243" s="13">
        <f t="shared" ref="B243:C243" si="21">SUM(B236:B242)</f>
        <v>7</v>
      </c>
      <c r="C243" s="14">
        <f t="shared" si="21"/>
        <v>69805.47</v>
      </c>
    </row>
    <row r="245">
      <c r="A245" s="15" t="s">
        <v>42</v>
      </c>
    </row>
    <row r="246">
      <c r="A246" s="3" t="s">
        <v>10</v>
      </c>
      <c r="B246" s="3" t="s">
        <v>11</v>
      </c>
      <c r="C246" s="3" t="s">
        <v>12</v>
      </c>
    </row>
    <row r="247">
      <c r="A247" s="3" t="s">
        <v>21</v>
      </c>
      <c r="B247" s="7">
        <v>1.0</v>
      </c>
      <c r="C247" s="8">
        <v>58196.0</v>
      </c>
    </row>
    <row r="248">
      <c r="A248" s="3" t="s">
        <v>16</v>
      </c>
      <c r="B248" s="7">
        <v>1.0</v>
      </c>
      <c r="C248" s="8">
        <v>2680.42</v>
      </c>
    </row>
    <row r="249">
      <c r="A249" s="3" t="s">
        <v>18</v>
      </c>
      <c r="B249" s="7">
        <v>1.0</v>
      </c>
      <c r="C249" s="8">
        <v>1416.43</v>
      </c>
    </row>
    <row r="250">
      <c r="A250" s="3" t="s">
        <v>17</v>
      </c>
      <c r="B250" s="7">
        <v>1.0</v>
      </c>
      <c r="C250" s="8">
        <v>0.0</v>
      </c>
    </row>
    <row r="251">
      <c r="A251" s="3" t="s">
        <v>14</v>
      </c>
      <c r="B251" s="7">
        <v>1.0</v>
      </c>
      <c r="C251" s="8">
        <v>0.0</v>
      </c>
    </row>
    <row r="252">
      <c r="A252" s="3" t="s">
        <v>13</v>
      </c>
      <c r="B252" s="7">
        <v>1.0</v>
      </c>
      <c r="C252" s="8">
        <v>0.0</v>
      </c>
    </row>
    <row r="253">
      <c r="A253" s="3" t="s">
        <v>15</v>
      </c>
      <c r="B253" s="7">
        <v>1.0</v>
      </c>
      <c r="C253" s="8">
        <v>0.0</v>
      </c>
    </row>
    <row r="254">
      <c r="A254" s="3" t="s">
        <v>19</v>
      </c>
      <c r="B254" s="13">
        <f t="shared" ref="B254:C254" si="22">SUM(B247:B253)</f>
        <v>7</v>
      </c>
      <c r="C254" s="14">
        <f t="shared" si="22"/>
        <v>62292.85</v>
      </c>
    </row>
    <row r="256">
      <c r="A256" s="15" t="s">
        <v>43</v>
      </c>
    </row>
    <row r="257">
      <c r="A257" s="3" t="s">
        <v>10</v>
      </c>
      <c r="B257" s="3" t="s">
        <v>11</v>
      </c>
      <c r="C257" s="3" t="s">
        <v>12</v>
      </c>
    </row>
    <row r="258">
      <c r="A258" s="3" t="s">
        <v>16</v>
      </c>
      <c r="B258" s="7">
        <v>1.0</v>
      </c>
      <c r="C258" s="8">
        <v>0.0</v>
      </c>
    </row>
    <row r="259">
      <c r="A259" s="3" t="s">
        <v>17</v>
      </c>
      <c r="B259" s="7">
        <v>1.0</v>
      </c>
      <c r="C259" s="8">
        <v>0.0</v>
      </c>
    </row>
    <row r="260">
      <c r="A260" s="3" t="s">
        <v>14</v>
      </c>
      <c r="B260" s="7">
        <v>1.0</v>
      </c>
      <c r="C260" s="8">
        <v>0.0</v>
      </c>
    </row>
    <row r="261">
      <c r="A261" s="3" t="s">
        <v>18</v>
      </c>
      <c r="B261" s="7">
        <v>1.0</v>
      </c>
      <c r="C261" s="8">
        <v>0.0</v>
      </c>
    </row>
    <row r="262">
      <c r="A262" s="3" t="s">
        <v>13</v>
      </c>
      <c r="B262" s="7">
        <v>1.0</v>
      </c>
      <c r="C262" s="8">
        <v>0.0</v>
      </c>
    </row>
    <row r="263">
      <c r="A263" s="3" t="s">
        <v>15</v>
      </c>
      <c r="B263" s="7">
        <v>1.0</v>
      </c>
      <c r="C263" s="8">
        <v>0.0</v>
      </c>
    </row>
    <row r="264">
      <c r="A264" s="3" t="s">
        <v>21</v>
      </c>
      <c r="B264" s="7">
        <v>1.0</v>
      </c>
      <c r="C264" s="8">
        <v>0.0</v>
      </c>
    </row>
    <row r="265">
      <c r="A265" s="3" t="s">
        <v>19</v>
      </c>
      <c r="B265" s="13">
        <f t="shared" ref="B265:C265" si="23">SUM(B258:B264)</f>
        <v>7</v>
      </c>
      <c r="C265" s="14">
        <f t="shared" si="23"/>
        <v>0</v>
      </c>
    </row>
    <row r="267">
      <c r="A267" s="15" t="s">
        <v>44</v>
      </c>
    </row>
    <row r="268">
      <c r="A268" s="3" t="s">
        <v>10</v>
      </c>
      <c r="B268" s="3" t="s">
        <v>11</v>
      </c>
      <c r="C268" s="3" t="s">
        <v>12</v>
      </c>
    </row>
    <row r="269">
      <c r="A269" s="3" t="s">
        <v>16</v>
      </c>
      <c r="B269" s="7">
        <v>1.0</v>
      </c>
      <c r="C269" s="8">
        <v>0.0</v>
      </c>
    </row>
    <row r="270">
      <c r="A270" s="3" t="s">
        <v>17</v>
      </c>
      <c r="B270" s="7">
        <v>1.0</v>
      </c>
      <c r="C270" s="8">
        <v>0.0</v>
      </c>
    </row>
    <row r="271">
      <c r="A271" s="3" t="s">
        <v>14</v>
      </c>
      <c r="B271" s="7">
        <v>1.0</v>
      </c>
      <c r="C271" s="8">
        <v>0.0</v>
      </c>
    </row>
    <row r="272">
      <c r="A272" s="3" t="s">
        <v>18</v>
      </c>
      <c r="B272" s="7">
        <v>1.0</v>
      </c>
      <c r="C272" s="8">
        <v>0.0</v>
      </c>
    </row>
    <row r="273">
      <c r="A273" s="3" t="s">
        <v>13</v>
      </c>
      <c r="B273" s="7">
        <v>1.0</v>
      </c>
      <c r="C273" s="8">
        <v>0.0</v>
      </c>
    </row>
    <row r="274">
      <c r="A274" s="3" t="s">
        <v>15</v>
      </c>
      <c r="B274" s="7">
        <v>1.0</v>
      </c>
      <c r="C274" s="8">
        <v>0.0</v>
      </c>
    </row>
    <row r="275">
      <c r="A275" s="3" t="s">
        <v>21</v>
      </c>
      <c r="B275" s="7">
        <v>1.0</v>
      </c>
      <c r="C275" s="8">
        <v>0.0</v>
      </c>
    </row>
    <row r="276">
      <c r="A276" s="3" t="s">
        <v>19</v>
      </c>
      <c r="B276" s="13">
        <f t="shared" ref="B276:C276" si="24">SUM(B269:B275)</f>
        <v>7</v>
      </c>
      <c r="C276" s="14">
        <f t="shared" si="24"/>
        <v>0</v>
      </c>
    </row>
    <row r="278">
      <c r="A278" s="3" t="s">
        <v>45</v>
      </c>
    </row>
    <row r="279">
      <c r="A279" s="3" t="s">
        <v>10</v>
      </c>
      <c r="B279" s="3" t="s">
        <v>11</v>
      </c>
      <c r="C279" s="3" t="s">
        <v>12</v>
      </c>
    </row>
    <row r="280">
      <c r="A280" s="3" t="s">
        <v>23</v>
      </c>
      <c r="B280" s="7">
        <v>12.0</v>
      </c>
      <c r="C280" s="8">
        <v>1826400.44</v>
      </c>
    </row>
    <row r="281">
      <c r="A281" s="3" t="s">
        <v>21</v>
      </c>
      <c r="B281" s="7">
        <v>23.0</v>
      </c>
      <c r="C281" s="8">
        <v>1202361.87</v>
      </c>
    </row>
    <row r="282">
      <c r="A282" s="3" t="s">
        <v>13</v>
      </c>
      <c r="B282" s="7">
        <v>24.0</v>
      </c>
      <c r="C282" s="8">
        <v>687953.93</v>
      </c>
    </row>
    <row r="283">
      <c r="A283" s="3" t="s">
        <v>15</v>
      </c>
      <c r="B283" s="7">
        <v>24.0</v>
      </c>
      <c r="C283" s="8">
        <v>234674.16</v>
      </c>
    </row>
    <row r="284">
      <c r="A284" s="3" t="s">
        <v>14</v>
      </c>
      <c r="B284" s="7">
        <v>23.0</v>
      </c>
      <c r="C284" s="8">
        <v>172184.5</v>
      </c>
    </row>
    <row r="285">
      <c r="A285" s="3" t="s">
        <v>18</v>
      </c>
      <c r="B285" s="7">
        <v>24.0</v>
      </c>
      <c r="C285" s="8">
        <v>126902.62</v>
      </c>
    </row>
    <row r="286">
      <c r="A286" s="3" t="s">
        <v>16</v>
      </c>
      <c r="B286" s="7">
        <v>24.0</v>
      </c>
      <c r="C286" s="8">
        <v>18054.94</v>
      </c>
    </row>
    <row r="287">
      <c r="A287" s="3" t="s">
        <v>17</v>
      </c>
      <c r="B287" s="7">
        <v>24.0</v>
      </c>
      <c r="C287" s="8">
        <v>0.0</v>
      </c>
    </row>
    <row r="288">
      <c r="A288" s="3" t="s">
        <v>6</v>
      </c>
      <c r="B288" s="13">
        <f t="shared" ref="B288:C288" si="25">SUM(B280:B287)</f>
        <v>178</v>
      </c>
      <c r="C288" s="14">
        <f t="shared" si="25"/>
        <v>4268532.46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46</v>
      </c>
    </row>
    <row r="2">
      <c r="A2" s="3" t="s">
        <v>47</v>
      </c>
    </row>
    <row r="3">
      <c r="A3" s="3" t="s">
        <v>48</v>
      </c>
    </row>
    <row r="4">
      <c r="A4" s="3" t="s">
        <v>49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56</v>
      </c>
      <c r="D9" s="16">
        <v>9949.1</v>
      </c>
    </row>
    <row r="10">
      <c r="C10" s="3" t="s">
        <v>57</v>
      </c>
      <c r="D10" s="3">
        <v>0.0</v>
      </c>
    </row>
    <row r="11">
      <c r="C11" s="3" t="s">
        <v>58</v>
      </c>
      <c r="D11" s="16">
        <v>33125.6</v>
      </c>
    </row>
    <row r="12">
      <c r="C12" s="3" t="s">
        <v>59</v>
      </c>
      <c r="D12" s="3">
        <v>274.8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60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62</v>
      </c>
      <c r="D9" s="16">
        <v>29592.9</v>
      </c>
    </row>
    <row r="10">
      <c r="C10" s="3" t="s">
        <v>57</v>
      </c>
      <c r="D10" s="3">
        <v>0.0</v>
      </c>
    </row>
    <row r="11">
      <c r="C11" s="3" t="s">
        <v>63</v>
      </c>
      <c r="D11" s="16">
        <v>8003.9</v>
      </c>
    </row>
    <row r="12">
      <c r="C12" s="3" t="s">
        <v>64</v>
      </c>
      <c r="D12" s="16">
        <v>2618.2</v>
      </c>
    </row>
    <row r="13">
      <c r="C13" s="3" t="s">
        <v>65</v>
      </c>
      <c r="D13" s="16">
        <v>22348.6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66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68</v>
      </c>
      <c r="D9" s="16">
        <v>41210.7</v>
      </c>
    </row>
    <row r="10">
      <c r="C10" s="3" t="s">
        <v>57</v>
      </c>
      <c r="D10" s="3">
        <v>0.0</v>
      </c>
    </row>
    <row r="11">
      <c r="C11" s="3" t="s">
        <v>69</v>
      </c>
      <c r="D11" s="16">
        <v>26228.5</v>
      </c>
    </row>
    <row r="12">
      <c r="C12" s="3" t="s">
        <v>70</v>
      </c>
      <c r="D12" s="3">
        <v>0.0</v>
      </c>
    </row>
    <row r="13">
      <c r="C13" s="3" t="s">
        <v>71</v>
      </c>
      <c r="D13" s="16">
        <v>49979.9</v>
      </c>
    </row>
    <row r="14">
      <c r="C14" s="3" t="s">
        <v>72</v>
      </c>
      <c r="D14" s="16">
        <v>117419.1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73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74</v>
      </c>
      <c r="D9" s="16">
        <v>11570.3</v>
      </c>
    </row>
    <row r="10">
      <c r="C10" s="3" t="s">
        <v>57</v>
      </c>
      <c r="D10" s="3">
        <v>0.0</v>
      </c>
    </row>
    <row r="11">
      <c r="C11" s="3" t="s">
        <v>75</v>
      </c>
      <c r="D11" s="16">
        <v>117662.0</v>
      </c>
    </row>
    <row r="12">
      <c r="C12" s="3" t="s">
        <v>70</v>
      </c>
      <c r="D12" s="3">
        <v>0.0</v>
      </c>
    </row>
    <row r="13">
      <c r="C13" s="3" t="s">
        <v>76</v>
      </c>
      <c r="D13" s="16">
        <v>32314.3</v>
      </c>
    </row>
    <row r="14">
      <c r="C14" s="3" t="s">
        <v>77</v>
      </c>
      <c r="D14" s="16">
        <v>161546.6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78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79</v>
      </c>
      <c r="D9" s="16">
        <v>36349.8</v>
      </c>
    </row>
    <row r="10">
      <c r="C10" s="3" t="s">
        <v>57</v>
      </c>
      <c r="D10" s="3">
        <v>0.0</v>
      </c>
    </row>
    <row r="11">
      <c r="C11" s="3" t="s">
        <v>80</v>
      </c>
      <c r="D11" s="16">
        <v>93329.9</v>
      </c>
    </row>
    <row r="12">
      <c r="C12" s="3" t="s">
        <v>81</v>
      </c>
      <c r="D12" s="16">
        <v>1551.8</v>
      </c>
    </row>
    <row r="13">
      <c r="C13" s="3" t="s">
        <v>82</v>
      </c>
      <c r="D13" s="16">
        <v>24013.6</v>
      </c>
    </row>
    <row r="14">
      <c r="C14" s="3" t="s">
        <v>83</v>
      </c>
      <c r="D14" s="16">
        <v>155245.1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84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85</v>
      </c>
      <c r="D9" s="16">
        <v>29450.1</v>
      </c>
    </row>
    <row r="10">
      <c r="C10" s="3" t="s">
        <v>57</v>
      </c>
      <c r="D10" s="3">
        <v>0.0</v>
      </c>
    </row>
    <row r="11">
      <c r="C11" s="3" t="s">
        <v>86</v>
      </c>
      <c r="D11" s="16">
        <v>84573.6</v>
      </c>
    </row>
    <row r="12">
      <c r="C12" s="3" t="s">
        <v>87</v>
      </c>
      <c r="D12" s="16">
        <v>2206.0</v>
      </c>
    </row>
    <row r="13">
      <c r="C13" s="3" t="s">
        <v>88</v>
      </c>
      <c r="D13" s="16">
        <v>65315.9</v>
      </c>
    </row>
    <row r="14">
      <c r="C14" s="3" t="s">
        <v>89</v>
      </c>
      <c r="D14" s="16">
        <v>181545.6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90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91</v>
      </c>
      <c r="D9" s="16">
        <v>14061.6</v>
      </c>
    </row>
    <row r="10">
      <c r="C10" s="3" t="s">
        <v>57</v>
      </c>
      <c r="D10" s="3">
        <v>0.0</v>
      </c>
    </row>
    <row r="11">
      <c r="C11" s="3" t="s">
        <v>92</v>
      </c>
      <c r="D11" s="16">
        <v>11837.1</v>
      </c>
    </row>
    <row r="12">
      <c r="C12" s="3" t="s">
        <v>70</v>
      </c>
      <c r="D12" s="3">
        <v>0.0</v>
      </c>
    </row>
    <row r="13">
      <c r="C13" s="3" t="s">
        <v>93</v>
      </c>
      <c r="D13" s="16">
        <v>24028.4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94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57</v>
      </c>
      <c r="D10" s="3">
        <v>0.0</v>
      </c>
    </row>
    <row r="11">
      <c r="C11" s="3" t="s">
        <v>96</v>
      </c>
      <c r="D11" s="16">
        <v>4106.9</v>
      </c>
    </row>
    <row r="12">
      <c r="C12" s="3" t="s">
        <v>97</v>
      </c>
      <c r="D12" s="16">
        <v>8407.4</v>
      </c>
    </row>
    <row r="13">
      <c r="C13" s="3" t="s">
        <v>98</v>
      </c>
      <c r="D13" s="16">
        <v>10975.5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99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57</v>
      </c>
      <c r="D10" s="3">
        <v>0.0</v>
      </c>
    </row>
    <row r="11">
      <c r="C11" s="3" t="s">
        <v>100</v>
      </c>
      <c r="D11" s="16">
        <v>69579.1</v>
      </c>
    </row>
    <row r="12">
      <c r="C12" s="3" t="s">
        <v>101</v>
      </c>
      <c r="D12" s="16">
        <v>5300.3</v>
      </c>
    </row>
    <row r="13">
      <c r="C13" s="3" t="s">
        <v>102</v>
      </c>
      <c r="D13" s="16">
        <v>38630.9</v>
      </c>
    </row>
    <row r="14">
      <c r="C14" s="3" t="s">
        <v>103</v>
      </c>
      <c r="D14" s="16">
        <v>113510.3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104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57</v>
      </c>
      <c r="D9" s="3">
        <v>0.0</v>
      </c>
    </row>
    <row r="10">
      <c r="C10" s="3" t="s">
        <v>105</v>
      </c>
      <c r="D10" s="16">
        <v>24420.14</v>
      </c>
    </row>
    <row r="11">
      <c r="C11" s="3" t="s">
        <v>106</v>
      </c>
      <c r="D11" s="16">
        <v>25645.75</v>
      </c>
    </row>
    <row r="12">
      <c r="C12" s="3" t="s">
        <v>107</v>
      </c>
      <c r="D12" s="16">
        <v>170298.3</v>
      </c>
    </row>
    <row r="13">
      <c r="C13" s="3" t="s">
        <v>108</v>
      </c>
      <c r="D13" s="16">
        <v>200714.29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109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57</v>
      </c>
      <c r="D10" s="3">
        <v>0.0</v>
      </c>
    </row>
    <row r="11">
      <c r="C11" s="3" t="s">
        <v>110</v>
      </c>
      <c r="D11" s="16">
        <v>34233.13</v>
      </c>
    </row>
    <row r="12">
      <c r="C12" s="3" t="s">
        <v>111</v>
      </c>
      <c r="D12" s="16">
        <v>13724.1</v>
      </c>
    </row>
    <row r="13">
      <c r="C13" s="3" t="s">
        <v>112</v>
      </c>
      <c r="D13" s="16">
        <v>70140.35</v>
      </c>
    </row>
    <row r="14">
      <c r="C14" s="3" t="s">
        <v>113</v>
      </c>
      <c r="D14" s="16">
        <v>118097.58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114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115</v>
      </c>
      <c r="D10" s="16">
        <v>13452.28</v>
      </c>
    </row>
    <row r="11">
      <c r="C11" s="3" t="s">
        <v>116</v>
      </c>
      <c r="D11" s="16">
        <v>7228.3</v>
      </c>
    </row>
    <row r="12">
      <c r="C12" s="3" t="s">
        <v>117</v>
      </c>
      <c r="D12" s="16">
        <v>22416.5</v>
      </c>
    </row>
    <row r="13">
      <c r="C13" s="3" t="s">
        <v>118</v>
      </c>
      <c r="D13" s="16">
        <v>133147.75</v>
      </c>
    </row>
    <row r="14">
      <c r="C14" s="3" t="s">
        <v>119</v>
      </c>
      <c r="D14" s="16">
        <v>176244.83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120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121</v>
      </c>
      <c r="D10" s="16">
        <v>19330.85</v>
      </c>
    </row>
    <row r="11">
      <c r="C11" s="3" t="s">
        <v>122</v>
      </c>
      <c r="D11" s="16">
        <v>7844.81</v>
      </c>
    </row>
    <row r="12">
      <c r="C12" s="3" t="s">
        <v>123</v>
      </c>
      <c r="D12" s="16">
        <v>12663.2</v>
      </c>
    </row>
    <row r="13">
      <c r="C13" s="3" t="s">
        <v>124</v>
      </c>
      <c r="D13" s="16">
        <v>1643.62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</cols>
  <sheetData>
    <row r="1">
      <c r="A1" s="3" t="s">
        <v>125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126</v>
      </c>
      <c r="D10" s="16">
        <v>17499.97</v>
      </c>
    </row>
    <row r="11">
      <c r="C11" s="3" t="s">
        <v>127</v>
      </c>
      <c r="D11" s="16">
        <v>81825.14</v>
      </c>
    </row>
    <row r="12">
      <c r="C12" s="3" t="s">
        <v>128</v>
      </c>
      <c r="D12" s="16">
        <v>3266.3</v>
      </c>
    </row>
    <row r="13">
      <c r="C13" s="3" t="s">
        <v>129</v>
      </c>
      <c r="D13" s="16">
        <v>65816.75</v>
      </c>
    </row>
    <row r="14">
      <c r="C14" s="3" t="s">
        <v>130</v>
      </c>
      <c r="D14" s="16">
        <v>168408.16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131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132</v>
      </c>
      <c r="D10" s="16">
        <v>6825.04</v>
      </c>
    </row>
    <row r="11">
      <c r="C11" s="3" t="s">
        <v>133</v>
      </c>
      <c r="D11" s="16">
        <v>61295.16</v>
      </c>
    </row>
    <row r="12">
      <c r="C12" s="3" t="s">
        <v>134</v>
      </c>
      <c r="D12" s="16">
        <v>22692.02</v>
      </c>
    </row>
    <row r="13">
      <c r="C13" s="3" t="s">
        <v>135</v>
      </c>
      <c r="D13" s="16">
        <v>50960.03</v>
      </c>
    </row>
    <row r="14">
      <c r="C14" s="3" t="s">
        <v>136</v>
      </c>
      <c r="D14" s="16">
        <v>141772.25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137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57</v>
      </c>
      <c r="D10" s="3">
        <v>0.0</v>
      </c>
    </row>
    <row r="11">
      <c r="C11" s="3" t="s">
        <v>138</v>
      </c>
      <c r="D11" s="16">
        <v>2947.5</v>
      </c>
    </row>
    <row r="12">
      <c r="C12" s="3" t="s">
        <v>139</v>
      </c>
      <c r="D12" s="16">
        <v>21279.9</v>
      </c>
    </row>
    <row r="13">
      <c r="C13" s="3" t="s">
        <v>140</v>
      </c>
      <c r="D13" s="16">
        <v>67968.0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141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142</v>
      </c>
      <c r="D10" s="16">
        <v>10102.11</v>
      </c>
    </row>
    <row r="11">
      <c r="C11" s="3" t="s">
        <v>143</v>
      </c>
      <c r="D11" s="16">
        <v>19713.15</v>
      </c>
    </row>
    <row r="12">
      <c r="C12" s="3" t="s">
        <v>144</v>
      </c>
      <c r="D12" s="16">
        <v>11027.6</v>
      </c>
    </row>
    <row r="13">
      <c r="C13" s="3" t="s">
        <v>145</v>
      </c>
      <c r="D13" s="16">
        <v>39220.97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146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147</v>
      </c>
      <c r="D10" s="16">
        <v>8121.21</v>
      </c>
    </row>
    <row r="11">
      <c r="C11" s="3" t="s">
        <v>148</v>
      </c>
      <c r="D11" s="3">
        <v>0.0</v>
      </c>
    </row>
    <row r="12">
      <c r="C12" s="3" t="s">
        <v>149</v>
      </c>
      <c r="D12" s="16">
        <v>47593.3</v>
      </c>
    </row>
    <row r="13">
      <c r="C13" s="3" t="s">
        <v>150</v>
      </c>
      <c r="D13" s="16">
        <v>72012.2</v>
      </c>
    </row>
    <row r="14">
      <c r="C14" s="3" t="s">
        <v>151</v>
      </c>
      <c r="D14" s="16">
        <v>127726.71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152</v>
      </c>
    </row>
    <row r="2">
      <c r="A2" s="3" t="s">
        <v>47</v>
      </c>
    </row>
    <row r="3">
      <c r="A3" s="3" t="s">
        <v>48</v>
      </c>
    </row>
    <row r="4">
      <c r="A4" s="3" t="s">
        <v>67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153</v>
      </c>
      <c r="D7" s="16">
        <v>8338.79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154</v>
      </c>
      <c r="D10" s="16">
        <v>27038.76</v>
      </c>
    </row>
    <row r="11">
      <c r="C11" s="3" t="s">
        <v>148</v>
      </c>
      <c r="D11" s="3">
        <v>0.0</v>
      </c>
    </row>
    <row r="12">
      <c r="C12" s="3" t="s">
        <v>155</v>
      </c>
      <c r="D12" s="16">
        <v>31877.3</v>
      </c>
    </row>
    <row r="13">
      <c r="C13" s="3" t="s">
        <v>156</v>
      </c>
      <c r="D13" s="16">
        <v>96915.07</v>
      </c>
    </row>
    <row r="14">
      <c r="C14" s="3" t="s">
        <v>157</v>
      </c>
      <c r="D14" s="16">
        <v>164169.92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158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159</v>
      </c>
      <c r="D7" s="16">
        <v>6319.03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160</v>
      </c>
      <c r="D10" s="16">
        <v>5018.6</v>
      </c>
    </row>
    <row r="11">
      <c r="C11" s="3" t="s">
        <v>148</v>
      </c>
      <c r="D11" s="3">
        <v>0.0</v>
      </c>
    </row>
    <row r="12">
      <c r="C12" s="3" t="s">
        <v>161</v>
      </c>
      <c r="D12" s="16">
        <v>2129.69</v>
      </c>
    </row>
    <row r="13">
      <c r="C13" s="3" t="s">
        <v>162</v>
      </c>
      <c r="D13" s="16">
        <v>57444.33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163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164</v>
      </c>
      <c r="D7" s="3">
        <v>716.7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165</v>
      </c>
      <c r="D10" s="16">
        <v>18097.37</v>
      </c>
    </row>
    <row r="11">
      <c r="C11" s="3" t="s">
        <v>148</v>
      </c>
      <c r="D11" s="3">
        <v>0.0</v>
      </c>
    </row>
    <row r="12">
      <c r="C12" s="3" t="s">
        <v>70</v>
      </c>
      <c r="D12" s="3">
        <v>0.0</v>
      </c>
    </row>
    <row r="13">
      <c r="C13" s="3" t="s">
        <v>166</v>
      </c>
      <c r="D13" s="16">
        <v>50991.4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167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3" t="s">
        <v>50</v>
      </c>
      <c r="B6" s="3" t="s">
        <v>51</v>
      </c>
      <c r="C6" s="3" t="s">
        <v>52</v>
      </c>
      <c r="D6" s="3" t="s">
        <v>53</v>
      </c>
    </row>
    <row r="7">
      <c r="C7" s="3" t="s">
        <v>168</v>
      </c>
      <c r="D7" s="16">
        <v>2680.42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169</v>
      </c>
      <c r="D10" s="16">
        <v>1416.43</v>
      </c>
    </row>
    <row r="11">
      <c r="C11" s="3" t="s">
        <v>148</v>
      </c>
      <c r="D11" s="3">
        <v>0.0</v>
      </c>
    </row>
    <row r="12">
      <c r="C12" s="3" t="s">
        <v>70</v>
      </c>
      <c r="D12" s="3">
        <v>0.0</v>
      </c>
    </row>
    <row r="13">
      <c r="C13" s="3" t="s">
        <v>170</v>
      </c>
      <c r="D13" s="16">
        <v>58196.0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171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57</v>
      </c>
      <c r="D10" s="3">
        <v>0.0</v>
      </c>
    </row>
    <row r="11">
      <c r="C11" s="3" t="s">
        <v>148</v>
      </c>
      <c r="D11" s="3">
        <v>0.0</v>
      </c>
    </row>
    <row r="12">
      <c r="C12" s="3" t="s">
        <v>70</v>
      </c>
      <c r="D12" s="3">
        <v>0.0</v>
      </c>
    </row>
    <row r="13">
      <c r="C13" s="3" t="s">
        <v>172</v>
      </c>
      <c r="D13" s="3">
        <v>0.0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sheetData>
    <row r="1">
      <c r="A1" s="3" t="s">
        <v>173</v>
      </c>
    </row>
    <row r="2">
      <c r="A2" s="3" t="s">
        <v>47</v>
      </c>
    </row>
    <row r="3">
      <c r="A3" s="3" t="s">
        <v>48</v>
      </c>
    </row>
    <row r="4">
      <c r="A4" s="3" t="s">
        <v>61</v>
      </c>
    </row>
    <row r="6">
      <c r="A6" s="4" t="s">
        <v>50</v>
      </c>
      <c r="B6" s="4" t="s">
        <v>51</v>
      </c>
      <c r="C6" s="4" t="s">
        <v>52</v>
      </c>
      <c r="D6" s="4" t="s">
        <v>53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C7" s="3" t="s">
        <v>54</v>
      </c>
      <c r="D7" s="3">
        <v>0.0</v>
      </c>
    </row>
    <row r="8">
      <c r="C8" s="3" t="s">
        <v>55</v>
      </c>
      <c r="D8" s="3">
        <v>0.0</v>
      </c>
    </row>
    <row r="9">
      <c r="C9" s="3" t="s">
        <v>95</v>
      </c>
      <c r="D9" s="3">
        <v>0.0</v>
      </c>
    </row>
    <row r="10">
      <c r="C10" s="3" t="s">
        <v>57</v>
      </c>
      <c r="D10" s="3">
        <v>0.0</v>
      </c>
    </row>
    <row r="11">
      <c r="C11" s="3" t="s">
        <v>148</v>
      </c>
      <c r="D11" s="3">
        <v>0.0</v>
      </c>
    </row>
    <row r="12">
      <c r="C12" s="3" t="s">
        <v>70</v>
      </c>
      <c r="D12" s="3">
        <v>0.0</v>
      </c>
    </row>
    <row r="13">
      <c r="C13" s="3" t="s">
        <v>172</v>
      </c>
      <c r="D13" s="3">
        <v>0.0</v>
      </c>
    </row>
  </sheetData>
  <drawing r:id="rId1"/>
</worksheet>
</file>